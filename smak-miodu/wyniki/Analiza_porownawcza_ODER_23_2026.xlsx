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cierz pełna" sheetId="1" state="visible" r:id="rId3"/>
    <sheet name="Widok per próbka" sheetId="2" state="visible" r:id="rId4"/>
    <sheet name="Zgodność labów" sheetId="3" state="visible" r:id="rId5"/>
    <sheet name="Przewodność" sheetId="4" state="visible" r:id="rId6"/>
    <sheet name="Legenda i metryka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<sst xmlns="http://schemas.openxmlformats.org/spreadsheetml/2006/main" count="1154" uniqueCount="284">
  <si>
    <t xml:space="preserve">Kompleksowe porównanie wyników badań miodu — 7 próbek × 4 laboratoria</t>
  </si>
  <si>
    <t xml:space="preserve">Zlecenie ODER 23/2026 (Huzar Sp. z o.o.). Wiersze = parametry pogrupowane blokami; kolumny = próbka × laboratorium. Myślnik oznacza, że laboratorium nie badało danego parametru.</t>
  </si>
  <si>
    <t xml:space="preserve">Parametr</t>
  </si>
  <si>
    <t xml:space="preserve">25C062101</t>
  </si>
  <si>
    <t xml:space="preserve">CQ23120101-2</t>
  </si>
  <si>
    <t xml:space="preserve">CQ25111501-1</t>
  </si>
  <si>
    <t xml:space="preserve">250906</t>
  </si>
  <si>
    <t xml:space="preserve">21/05</t>
  </si>
  <si>
    <t xml:space="preserve">4/02/2029</t>
  </si>
  <si>
    <t xml:space="preserve">02/09</t>
  </si>
  <si>
    <t xml:space="preserve">QSI</t>
  </si>
  <si>
    <t xml:space="preserve">Eurofins</t>
  </si>
  <si>
    <t xml:space="preserve">Intertek</t>
  </si>
  <si>
    <t xml:space="preserve">Puławy</t>
  </si>
  <si>
    <t xml:space="preserve">ORGANOLEPTYKA</t>
  </si>
  <si>
    <t xml:space="preserve">Barwa</t>
  </si>
  <si>
    <t xml:space="preserve">typowa dla pożytku</t>
  </si>
  <si>
    <t xml:space="preserve">wodnojasna</t>
  </si>
  <si>
    <t xml:space="preserve">ekstra biała</t>
  </si>
  <si>
    <t xml:space="preserve">słomkowa</t>
  </si>
  <si>
    <t xml:space="preserve">bardzo jasna</t>
  </si>
  <si>
    <t xml:space="preserve">biała</t>
  </si>
  <si>
    <t xml:space="preserve">kremowa</t>
  </si>
  <si>
    <t xml:space="preserve">ciemnożółta</t>
  </si>
  <si>
    <t xml:space="preserve">typowa dla miodu</t>
  </si>
  <si>
    <t xml:space="preserve">żółta</t>
  </si>
  <si>
    <t xml:space="preserve">herbaciana</t>
  </si>
  <si>
    <t xml:space="preserve">Konsystencja</t>
  </si>
  <si>
    <t xml:space="preserve">płynna</t>
  </si>
  <si>
    <t xml:space="preserve">lepka</t>
  </si>
  <si>
    <t xml:space="preserve">skrystalizowana</t>
  </si>
  <si>
    <t xml:space="preserve">częściowo skrystalizowana</t>
  </si>
  <si>
    <t xml:space="preserve">luźno skrystalizowana</t>
  </si>
  <si>
    <t xml:space="preserve">luźno skrystalizowana (średnioziarnista)</t>
  </si>
  <si>
    <t xml:space="preserve">częściowo skrystalizowana, dwie warstwy</t>
  </si>
  <si>
    <t xml:space="preserve">płynna, mętna</t>
  </si>
  <si>
    <t xml:space="preserve">częściowo skrystalizowana, dwie warstwy, grube kryształy</t>
  </si>
  <si>
    <t xml:space="preserve">Zapach</t>
  </si>
  <si>
    <t xml:space="preserve">nietypowy dla miodu</t>
  </si>
  <si>
    <t xml:space="preserve">przypominający mocz zwierzęcy, lekko typowy dla pożytku</t>
  </si>
  <si>
    <t xml:space="preserve">lekko typowy dla pożytku</t>
  </si>
  <si>
    <t xml:space="preserve">nienaturalny, lekko kwiatowy</t>
  </si>
  <si>
    <t xml:space="preserve">słabo typowy dla pożytku</t>
  </si>
  <si>
    <t xml:space="preserve">lekko typowy dla miodu</t>
  </si>
  <si>
    <t xml:space="preserve">słabo wyczuwalny, kwiatów rzepaku</t>
  </si>
  <si>
    <t xml:space="preserve">typowy dla miodu</t>
  </si>
  <si>
    <t xml:space="preserve">wyraźny, charakterystyczny dla oznak fermentacji</t>
  </si>
  <si>
    <t xml:space="preserve">słaby, lekko kwaśny, charakterystyczny dla oznak fermentacji</t>
  </si>
  <si>
    <t xml:space="preserve">silny, landrynkowy</t>
  </si>
  <si>
    <t xml:space="preserve">typowy dla pożytku</t>
  </si>
  <si>
    <t xml:space="preserve">silny, podobny do wosku pszczelego</t>
  </si>
  <si>
    <t xml:space="preserve">brak</t>
  </si>
  <si>
    <t xml:space="preserve">silny, charakterystyczny dla oznak fermentacji</t>
  </si>
  <si>
    <t xml:space="preserve">Smak</t>
  </si>
  <si>
    <t xml:space="preserve">słodki, kwiatowy, łagodny, lekko metaliczny, lekko typowy dla pożytku</t>
  </si>
  <si>
    <t xml:space="preserve">słodki, owocowy, lekko typowy dla pożytku</t>
  </si>
  <si>
    <t xml:space="preserve">bardzo słodki, szczypiący</t>
  </si>
  <si>
    <t xml:space="preserve">słodki, owocowy, medyczny (apteczny), lekko metaliczny, lekko typowy dla miodu</t>
  </si>
  <si>
    <t xml:space="preserve">słodki, owocowy, miętowy, lekko typowy dla pożytku</t>
  </si>
  <si>
    <t xml:space="preserve">słodki</t>
  </si>
  <si>
    <t xml:space="preserve">słodki, kwiatowy, medyczny (apteczny), lekko gorzki, miętowy, lekko typowy dla pożytku</t>
  </si>
  <si>
    <t xml:space="preserve">słodki, owocowy, miętowy</t>
  </si>
  <si>
    <t xml:space="preserve">słodki, łagodny</t>
  </si>
  <si>
    <t xml:space="preserve">słodki, kwiatowy, łagodny, lekko typowy dla pożytku</t>
  </si>
  <si>
    <t xml:space="preserve">słodki, owocowy</t>
  </si>
  <si>
    <t xml:space="preserve">słodki, bez wyraźnego aromatu kwiatowego, lekko metaliczny, nietypowy dla miodu</t>
  </si>
  <si>
    <t xml:space="preserve">słodki, owocowy, słodowy, nietypowy dla miodu</t>
  </si>
  <si>
    <t xml:space="preserve">bardzo słodki, nieco szczypiący</t>
  </si>
  <si>
    <t xml:space="preserve">słodki, kwiatowy, ziołowy, lekko typowy dla pożytku</t>
  </si>
  <si>
    <t xml:space="preserve">słodki, kwiatowy, owocowy, ziołowy</t>
  </si>
  <si>
    <t xml:space="preserve">słodki, nieco ostry</t>
  </si>
  <si>
    <t xml:space="preserve">słodki, bez wyraźnego aromatu kwiatowego, nietypowy dla miodu</t>
  </si>
  <si>
    <t xml:space="preserve">słodki, przypominający palony karmel</t>
  </si>
  <si>
    <t xml:space="preserve">FIZYKOCHEMIA</t>
  </si>
  <si>
    <t xml:space="preserve">Przewodność elektr. [mS/cm]</t>
  </si>
  <si>
    <t xml:space="preserve">0,12</t>
  </si>
  <si>
    <t xml:space="preserve">0,12 (± 0,01)</t>
  </si>
  <si>
    <t xml:space="preserve">—</t>
  </si>
  <si>
    <t xml:space="preserve">0,19</t>
  </si>
  <si>
    <t xml:space="preserve">0,19 (± 0,01)</t>
  </si>
  <si>
    <t xml:space="preserve">0,31</t>
  </si>
  <si>
    <t xml:space="preserve">0,33 (± 0,02)</t>
  </si>
  <si>
    <t xml:space="preserve">0,34</t>
  </si>
  <si>
    <t xml:space="preserve">0,13</t>
  </si>
  <si>
    <t xml:space="preserve">0,14 (± 0,01)</t>
  </si>
  <si>
    <t xml:space="preserve">0,14</t>
  </si>
  <si>
    <t xml:space="preserve">0,07</t>
  </si>
  <si>
    <t xml:space="preserve">0,76 (± 0,05)</t>
  </si>
  <si>
    <t xml:space="preserve">0,08</t>
  </si>
  <si>
    <t xml:space="preserve">0,27</t>
  </si>
  <si>
    <t xml:space="preserve">0,25 (± 0,02)</t>
  </si>
  <si>
    <t xml:space="preserve">0,24</t>
  </si>
  <si>
    <t xml:space="preserve">0,11</t>
  </si>
  <si>
    <t xml:space="preserve">0,84 (± 0,06)</t>
  </si>
  <si>
    <t xml:space="preserve">Zawartość drożdży</t>
  </si>
  <si>
    <t xml:space="preserve">podwyższona</t>
  </si>
  <si>
    <t xml:space="preserve">500 tys.–1 mln /10 g (wysoka)</t>
  </si>
  <si>
    <t xml:space="preserve">podwyższona (&gt;500 tys./10 g)</t>
  </si>
  <si>
    <t xml:space="preserve">niezwykle silnie podwyższona (prawdop. drożdże paszowe)</t>
  </si>
  <si>
    <t xml:space="preserve">&gt;1 mln /10 g (skrajnie wysoka)</t>
  </si>
  <si>
    <t xml:space="preserve">niezwykle silnie podwyższona</t>
  </si>
  <si>
    <t xml:space="preserve">średnia</t>
  </si>
  <si>
    <t xml:space="preserve">lekko podwyższona (&lt;500 tys./10 g)</t>
  </si>
  <si>
    <t xml:space="preserve">średnia (prawdop. drożdże paszowe)</t>
  </si>
  <si>
    <t xml:space="preserve">Skrobia</t>
  </si>
  <si>
    <t xml:space="preserve">niska (≤10%)</t>
  </si>
  <si>
    <t xml:space="preserve">&lt; 5/500 ziaren pyłku</t>
  </si>
  <si>
    <t xml:space="preserve">bardzo niska (&lt; 5%)</t>
  </si>
  <si>
    <t xml:space="preserve">ANALIZA PYŁKOWA / MIKROSKOPIA</t>
  </si>
  <si>
    <t xml:space="preserve">Pyłek dominujący / główny</t>
  </si>
  <si>
    <t xml:space="preserve">brak dominującego; wtórny: 43% Robinia pseudoacacia (u.r.), 25% Brassicaceae</t>
  </si>
  <si>
    <t xml:space="preserve">47% Robinia pseudoacacia; 17% Brassicaceae</t>
  </si>
  <si>
    <t xml:space="preserve">56% Actinidia chinensis (kiwi, P); wtórny: 24% Tilia (u.r.)</t>
  </si>
  <si>
    <t xml:space="preserve">46% Tilia (lipa); 19% Brassicaceae</t>
  </si>
  <si>
    <t xml:space="preserve">brak dominującego; wtórny: 38% Actinidia chinensis (P), 27% Tilia (u.r.)</t>
  </si>
  <si>
    <t xml:space="preserve">44% Tilia (lipa); 13% Rosaceae</t>
  </si>
  <si>
    <t xml:space="preserve">brak dominującego; wtórny: 32% Robinia pseudoacacia (u.r.)</t>
  </si>
  <si>
    <t xml:space="preserve">45% Robinia pseudoacacia; 10% Tetradium daniellii</t>
  </si>
  <si>
    <t xml:space="preserve">brak dominującego; wtórny: 26% Artemisia (P), 26% Brassicaceae</t>
  </si>
  <si>
    <t xml:space="preserve">40% Brassicaceae; 21% Rosaceae</t>
  </si>
  <si>
    <t xml:space="preserve">86% Brassica (rzepak)</t>
  </si>
  <si>
    <t xml:space="preserve">92% Brassica napus (rzepak)</t>
  </si>
  <si>
    <t xml:space="preserve">47% Rosaceae; 10% Camellia (herbata)</t>
  </si>
  <si>
    <t xml:space="preserve">39% Rosaceae; 34% Camellia sinensis (herbata)</t>
  </si>
  <si>
    <t xml:space="preserve">Liczba policzonych ziaren / typów pyłku</t>
  </si>
  <si>
    <t xml:space="preserve">500 ziaren / 26 typów</t>
  </si>
  <si>
    <t xml:space="preserve">500 ziaren / 25 typów</t>
  </si>
  <si>
    <t xml:space="preserve">500 ziaren / 20 typów</t>
  </si>
  <si>
    <t xml:space="preserve">500 ziaren / 28 typów</t>
  </si>
  <si>
    <t xml:space="preserve">Pyłek roślin bezmiodnych</t>
  </si>
  <si>
    <t xml:space="preserve">25</t>
  </si>
  <si>
    <t xml:space="preserve">227</t>
  </si>
  <si>
    <t xml:space="preserve">przewaga pyłku roślin bezmiodnych – wyniki mogą być niereprezentatywne</t>
  </si>
  <si>
    <t xml:space="preserve">197</t>
  </si>
  <si>
    <t xml:space="preserve">40</t>
  </si>
  <si>
    <t xml:space="preserve">214</t>
  </si>
  <si>
    <t xml:space="preserve">8</t>
  </si>
  <si>
    <t xml:space="preserve">150</t>
  </si>
  <si>
    <t xml:space="preserve">Elementy spadziowe</t>
  </si>
  <si>
    <t xml:space="preserve">zarodniki grzybów: nieliczne; wosk: brak</t>
  </si>
  <si>
    <t xml:space="preserve">niewiele</t>
  </si>
  <si>
    <t xml:space="preserve">materia krystaliczna (umiarkowanie), zarodniki (nieliczne)</t>
  </si>
  <si>
    <t xml:space="preserve">mało</t>
  </si>
  <si>
    <t xml:space="preserve">Pozostały osad / cząstki obce</t>
  </si>
  <si>
    <t xml:space="preserve">słabo typowy dla miodu; liczne cząstki jak resztki ciasta paszowego; czarne i brązowe cząstki</t>
  </si>
  <si>
    <t xml:space="preserve">grzybnia, zarodniki, kryształy, tkanka roślinna, włókna, czarne cząstki, cząstki nietypowe dla miodu</t>
  </si>
  <si>
    <t xml:space="preserve">włókna roślinne, cząstki brudu</t>
  </si>
  <si>
    <t xml:space="preserve">słabo typowy dla miodu; lekko brązowawy osad</t>
  </si>
  <si>
    <t xml:space="preserve">włókna roślinne</t>
  </si>
  <si>
    <t xml:space="preserve">typowy dla miodu; kilka brązowych cząstek</t>
  </si>
  <si>
    <t xml:space="preserve">słabo typowy dla miodu; cząstki jak resztki ciasta paszowego; liczne części roślin</t>
  </si>
  <si>
    <t xml:space="preserve">słabo typowy dla miodu; brązowawy osad</t>
  </si>
  <si>
    <t xml:space="preserve">WNIOSKI</t>
  </si>
  <si>
    <t xml:space="preserve">Pochodzenie botaniczne (wniosek)</t>
  </si>
  <si>
    <t xml:space="preserve">nie określono (—)</t>
  </si>
  <si>
    <t xml:space="preserve">miód akacjowy (jeśli zgodny stosunek F/G), inaczej: miód nektarowy z akacjowym</t>
  </si>
  <si>
    <t xml:space="preserve">miód akacjowy (jeśli F/G), inaczej: akacjowy z nektarowym</t>
  </si>
  <si>
    <t xml:space="preserve">nie da się przypisać odmiany</t>
  </si>
  <si>
    <t xml:space="preserve">miód nektarowy (Blossom)</t>
  </si>
  <si>
    <t xml:space="preserve">miód nektarowy z lipowym</t>
  </si>
  <si>
    <t xml:space="preserve">miód lipowy (jeśli F/G), inaczej: nektarowy z lipowym</t>
  </si>
  <si>
    <t xml:space="preserve">miód lipowy</t>
  </si>
  <si>
    <t xml:space="preserve">miód akacjowy (jeśli F/G), inaczej: nektarowy z akacjowym</t>
  </si>
  <si>
    <t xml:space="preserve">nie określono – cechy nietypowe dla miodu naturalnego</t>
  </si>
  <si>
    <t xml:space="preserve">miód rzepakowy (jeśli F/G), inaczej: nektarowy z rzepakowym</t>
  </si>
  <si>
    <t xml:space="preserve">Pochodzenie geograficzne (wniosek)</t>
  </si>
  <si>
    <t xml:space="preserve">Chiny</t>
  </si>
  <si>
    <t xml:space="preserve">Chiny, Europa Wschodnia</t>
  </si>
  <si>
    <t xml:space="preserve">możliwa Europa Wschodnia</t>
  </si>
  <si>
    <t xml:space="preserve">Europa Środkowa</t>
  </si>
  <si>
    <t xml:space="preserve">Europa Wschodnia</t>
  </si>
  <si>
    <t xml:space="preserve">Ocena końcowa / zastrzeżenia</t>
  </si>
  <si>
    <t xml:space="preserve">Zapach i smak NIEZGODNE z obrazem pyłkowym – zalecane dalsze badania</t>
  </si>
  <si>
    <t xml:space="preserve">Zgodny z dyrektywą 2001/110/WE. Podwyższone drożdże mogą wskazywać na fermentację, ale organoleptyka tego nie potwierdza</t>
  </si>
  <si>
    <t xml:space="preserve">Pochodzenie ustalone na podstawie organoleptyki, fizykochemii i mikroskopii; drożdże mogą wskazywać na fermentację</t>
  </si>
  <si>
    <t xml:space="preserve">Cechy NIEJEDNOZNACZNE z PN-88/A-77626 – nie da się potwierdzić odmiany</t>
  </si>
  <si>
    <t xml:space="preserve">Podwyższone drożdże mogłyby być podstawą reklamacji, ale sensoryka bez oznak fermentacji – brak zastrzeżeń do obrotu</t>
  </si>
  <si>
    <t xml:space="preserve">Zgodny z dyrektywą. Skrajnie wysokie drożdże – możliwa fermentacja, organoleptyka nie potwierdza</t>
  </si>
  <si>
    <t xml:space="preserve">Przewaga pyłku roślin bezmiodnych – wyniki mogą być niereprezentatywne; drożdże mogą wskazywać na fermentację</t>
  </si>
  <si>
    <t xml:space="preserve">Cechy NIEJEDNOZNACZNE z PN-88/A-77626</t>
  </si>
  <si>
    <t xml:space="preserve">Drożdże mogą wskazywać na fermentację lub fermentację zatrzymaną</t>
  </si>
  <si>
    <t xml:space="preserve">Cechy NIEJEDNOZNACZNE z PN-88/A-77626; wyraźny zapach oznak FERMENTACJI</t>
  </si>
  <si>
    <t xml:space="preserve">Zgodny z dyrektywą. Podwyższone drożdże – możliwa fermentacja, organoleptyka nie potwierdza</t>
  </si>
  <si>
    <t xml:space="preserve">Pochodzenie ustalone na podstawie organoleptyki, fizykochemii i mikroskopii</t>
  </si>
  <si>
    <t xml:space="preserve">Cechy NIEJEDNOZNACZNE z PN-88/A-77626; zapach oznak FERMENTACJI</t>
  </si>
  <si>
    <t xml:space="preserve">Niska przewodność NIE odpowiada obrazowi pyłkowemu – zalecana weryfikacja autentyczności (np. NMR)</t>
  </si>
  <si>
    <t xml:space="preserve">NIEZGODNY z dyrektywą – cechy organoleptyczne nietypowe dla miodu naturalnego</t>
  </si>
  <si>
    <t xml:space="preserve">Organoleptyka NIEZGODNA z miodem – zalecane badanie na zafałszowanie; przewodność na granicy zakresu naturalnego</t>
  </si>
  <si>
    <t xml:space="preserve">Cechy NIEJEDNOZNACZNE z PN-88/A-77626; silny zapach landrynkowy</t>
  </si>
  <si>
    <t xml:space="preserve">Deklaracja miodu nektarowego zgodna z art. 2 (2b) dyrektywy; brak zastrzeżeń</t>
  </si>
  <si>
    <t xml:space="preserve">Pochodzenie ustalone na podstawie organoleptyki, fizykochemii i mikroskopii; brak zastrzeżeń</t>
  </si>
  <si>
    <t xml:space="preserve">Cechy NIEJEDNOZNACZNE z PN-88/A-77626; silny zapach oznak FERMENTACJI</t>
  </si>
  <si>
    <t xml:space="preserve">Karta próbki — wszystkie parametry, 4 laboratoria obok siebie</t>
  </si>
  <si>
    <t xml:space="preserve">PRÓBKA:  25C062101</t>
  </si>
  <si>
    <t xml:space="preserve">PRÓBKA:  CQ23120101-2</t>
  </si>
  <si>
    <t xml:space="preserve">PRÓBKA:  CQ25111501-1</t>
  </si>
  <si>
    <t xml:space="preserve">PRÓBKA:  250906</t>
  </si>
  <si>
    <t xml:space="preserve">PRÓBKA:  21/05</t>
  </si>
  <si>
    <t xml:space="preserve">PRÓBKA:  4/02/2029</t>
  </si>
  <si>
    <t xml:space="preserve">PRÓBKA:  02/09</t>
  </si>
  <si>
    <t xml:space="preserve">Zgodność ocen między laboratoriami — kluczowe rozbieżności</t>
  </si>
  <si>
    <t xml:space="preserve">Próbka</t>
  </si>
  <si>
    <t xml:space="preserve">Przewodność: QSI</t>
  </si>
  <si>
    <t xml:space="preserve">Przewodność: Eurofins</t>
  </si>
  <si>
    <t xml:space="preserve">Przewodność: Intertek</t>
  </si>
  <si>
    <t xml:space="preserve">Rozrzut (maks-min)</t>
  </si>
  <si>
    <t xml:space="preserve">Zapach/smak – rozbieżność</t>
  </si>
  <si>
    <t xml:space="preserve">Ocena zgodności z prawem żywnościowym</t>
  </si>
  <si>
    <t xml:space="preserve">TAK – QSI: nietypowy; Eurofins/Intertek: lekko typowy; Puławy: nienaturalny</t>
  </si>
  <si>
    <t xml:space="preserve">Eurofins: zgodny │ QSI: wymaga dalszych badań │ Intertek: bez zastrzeżeń │ Puławy: niejednoznaczny</t>
  </si>
  <si>
    <t xml:space="preserve">nie – wszystkie laby: słabo/lekko typowy</t>
  </si>
  <si>
    <t xml:space="preserve">Eurofins: zgodny │ QSI: dopuszcza do obrotu │ Intertek: dane niereprezentatywne │ Puławy: niejednoznaczny</t>
  </si>
  <si>
    <t xml:space="preserve">TAK – Intertek: typowy dla miodu; Puławy: oznaki fermentacji</t>
  </si>
  <si>
    <t xml:space="preserve">Eurofins: zgodny │ QSI: dopuszcza do obrotu │ Intertek: możliwa fermentacja │ Puławy: niejednoznaczny</t>
  </si>
  <si>
    <t xml:space="preserve">TAK – QSI: nietypowy; Intertek: typowy dla miodu; Puławy: oznaki fermentacji</t>
  </si>
  <si>
    <t xml:space="preserve">nie – QSI/Eurofins/Intertek zgodnie: nietypowy dla miodu</t>
  </si>
  <si>
    <t xml:space="preserve">Eurofins: NIEZGODNY │ Intertek: podejrzenie zafałszowania │ QSI: weryfikacja NMR │ Puławy: niejednoznaczny</t>
  </si>
  <si>
    <t xml:space="preserve">nie – wszystkie laby: typowy</t>
  </si>
  <si>
    <t xml:space="preserve">Wszystkie laby: BEZ ZASTRZEŻEŃ (jedyna próbka spoza Chin)</t>
  </si>
  <si>
    <t xml:space="preserve">TAK – Eurofins: brak zapachu; QSI/Intertek: nietypowy; Puławy: oznaki fermentacji</t>
  </si>
  <si>
    <t xml:space="preserve">Eurofins: NIEZGODNY │ Intertek: podejrzenie zafałszowania │ QSI: dalsze badania │ Puławy: niejednoznaczny</t>
  </si>
  <si>
    <t xml:space="preserve">NAJWIĘKSZE ROZBIEŻNOŚCI MIĘDZY LABORATORIAMI</t>
  </si>
  <si>
    <t xml:space="preserve">• Przewodność elektryczna 21/05 i 02/09 — Eurofins podaje 0,76 i 0,84 mS/cm, natomiast QSI i Intertek 0,07–0,11 mS/cm. To różnica ok. 10-krotna, nie do wyjaśnienia niepewnością pomiaru; wymaga wyjaśnienia z laboratoriami (możliwa zamiana próbek lub błąd zapisu).</t>
  </si>
  <si>
    <t xml:space="preserve">• Konsystencja — Puławy opisuje 21/05, 4/02/2029 i 02/09 jako płynne, podczas gdy Eurofins i Intertek jako częściowo skrystalizowane. Prawdopodobnie efekt różnych dat/warunków badania.</t>
  </si>
  <si>
    <t xml:space="preserve">• Oznaki fermentacji — wykrywa je organoleptycznie wyłącznie Puławy (4 próbki: CQ25111501-1, 250906, 02/09 oraz pośrednio inne). Pozostałe laby notują wysokie drożdże, ale twierdzą, że organoleptyka fermentacji nie potwierdza.</t>
  </si>
  <si>
    <t xml:space="preserve">• Pyłek dominujący CQ23120101-2 — QSI wskazuje 56% Actinidia (kiwi), Eurofins 46% Tilia (lipa). Zupełnie inne przypisanie odmiany przy tej samej próbce.</t>
  </si>
  <si>
    <t xml:space="preserve">• Pochodzenie 4/02/2029 — QSI: możliwa Europa Wschodnia, Eurofins: Europa Środkowa, Intertek: Europa Wschodnia. Jedyna próbka nieprzypisana do Chin.</t>
  </si>
  <si>
    <t xml:space="preserve">• Zawartość drożdży CQ23120101-2 / CQ25111501-1 — QSI i Eurofins: skrajnie podwyższona (&gt;1 mln), Intertek klasyfikuje łagodniej (&gt;500 tys.).</t>
  </si>
  <si>
    <t xml:space="preserve">Przewodność elektryczna [mS/cm] — porównanie trzech laboratoriów</t>
  </si>
  <si>
    <t xml:space="preserve">Średnia</t>
  </si>
  <si>
    <t xml:space="preserve">Rozrzut</t>
  </si>
  <si>
    <t xml:space="preserve">Uwaga: miody nektarowe zwykle ≤0,8 mS/cm; wartość poniżej ~0,1 mS/cm bywa sygnałem rozcieńczenia syropem (QSI zwrócił na to uwagę przy 21/05).</t>
  </si>
  <si>
    <t xml:space="preserve">Metryka laboratoriów, metody i legenda kolorów</t>
  </si>
  <si>
    <t xml:space="preserve">Quality Services International GmbH (grupa Tentamus)</t>
  </si>
  <si>
    <t xml:space="preserve">Eurofins Food Integrity Control Services GmbH</t>
  </si>
  <si>
    <t xml:space="preserve">Intertek Food Services GmbH</t>
  </si>
  <si>
    <t xml:space="preserve">Instytut Ogrodnictwa – PIB, Zakład Pszczelnictwa</t>
  </si>
  <si>
    <t xml:space="preserve">Flughafendamm 9a, 28199 Brema, Niemcy</t>
  </si>
  <si>
    <t xml:space="preserve">Berliner Straße 2, 27721 Ritterhude, Niemcy</t>
  </si>
  <si>
    <t xml:space="preserve">Olof-Palme-Straße 8, 28719 Brema, Niemcy</t>
  </si>
  <si>
    <t xml:space="preserve">Laboratorium Badania Jakości Produktów Pszczelich</t>
  </si>
  <si>
    <t xml:space="preserve">Nr raportów: 210-1757062 … 210-1757068</t>
  </si>
  <si>
    <t xml:space="preserve">Nr raportów: AR-26-TH-013527-01 … AR-26-TH-013560-01</t>
  </si>
  <si>
    <t xml:space="preserve">Nr raportów: 2608140544 … 2608140579</t>
  </si>
  <si>
    <t xml:space="preserve">ul. Sosnowa 3, 24-100 Puławy</t>
  </si>
  <si>
    <t xml:space="preserve">Badanie: VA220 (2025-08) – pochodzenie botaniczne i geograficzne</t>
  </si>
  <si>
    <t xml:space="preserve">Organoleptyka: ICS SOP 520-02 (2024-01)</t>
  </si>
  <si>
    <t xml:space="preserve">Organoleptyka: DIN 10964 / PM DE01.108:2015-09 (akredyt.)</t>
  </si>
  <si>
    <t xml:space="preserve">Nr sprawozdań: 347/01/26 O … 347/07/26 O</t>
  </si>
  <si>
    <t xml:space="preserve">Organoleptyka: ASU L 00.90-6 (2015-06, mod.)</t>
  </si>
  <si>
    <t xml:space="preserve">Pyłek: DIN 10760 mod. (2002-05) / ICS SOP 520-11</t>
  </si>
  <si>
    <t xml:space="preserve">Pyłek/drożdże: DIN 10760 / PM DE01.045:2024-03 (nieakredyt.)</t>
  </si>
  <si>
    <t xml:space="preserve">Metoda: PN-88/A-77626 pkt 3.1.1 + Rozp. MRiRW (nieakredytowana)</t>
  </si>
  <si>
    <t xml:space="preserve">Przewodność: ASU L 40.00-5 (2021-11, mod.)</t>
  </si>
  <si>
    <t xml:space="preserve">Przewodność: ICS SOP 510-06 (2021-04)</t>
  </si>
  <si>
    <t xml:space="preserve">Przewodność: PM DE01.042:2022-04 (akredyt.)</t>
  </si>
  <si>
    <t xml:space="preserve">ZAKRES: wyłącznie badania organoleptyczne</t>
  </si>
  <si>
    <t xml:space="preserve">Pyłek: ASU L 40.00-11 (2003-12, mod.)</t>
  </si>
  <si>
    <t xml:space="preserve">Daty badań: 10–17.08.2026</t>
  </si>
  <si>
    <t xml:space="preserve">Skrobia: PM DE01.037:2009-08 (akredyt.)</t>
  </si>
  <si>
    <t xml:space="preserve">Daty badań: 10–13.08.2026</t>
  </si>
  <si>
    <t xml:space="preserve">Daty badań: 10–12.08.2026</t>
  </si>
  <si>
    <t xml:space="preserve">Daty badań: 11–14.08.2026</t>
  </si>
  <si>
    <t xml:space="preserve">LEGENDA KOLORÓW</t>
  </si>
  <si>
    <t xml:space="preserve">Wynik negatywny / niezgodność / oznaki fermentacji lub zafałszowania</t>
  </si>
  <si>
    <t xml:space="preserve">Wynik wymagający uwagi (podwyższone drożdże, cechy słabo typowe, dane niereprezentatywne)</t>
  </si>
  <si>
    <t xml:space="preserve">Wynik pozytywny / zgodny z wymaganiami</t>
  </si>
  <si>
    <t xml:space="preserve">Parametr nie badany przez to laboratorium („—”)</t>
  </si>
  <si>
    <t xml:space="preserve">TERMINOLOGIA (przekład z oryginałów EN/DE)</t>
  </si>
  <si>
    <t xml:space="preserve">source-specific / trachttypisch</t>
  </si>
  <si>
    <t xml:space="preserve">typowy dla pożytku (zgodny z surowcem, z którego powstał miód)</t>
  </si>
  <si>
    <t xml:space="preserve">honey-specific / honigtypisch</t>
  </si>
  <si>
    <t xml:space="preserve">not honey-specific</t>
  </si>
  <si>
    <t xml:space="preserve">u.r. / underrepresented</t>
  </si>
  <si>
    <t xml:space="preserve">pyłek niedoreprezentowany</t>
  </si>
  <si>
    <t xml:space="preserve">ü.r. / overrepresented</t>
  </si>
  <si>
    <t xml:space="preserve">pyłek nadreprezentowany</t>
  </si>
  <si>
    <t xml:space="preserve">(P)</t>
  </si>
  <si>
    <t xml:space="preserve">roślina bezmiodna (bez nektaru)</t>
  </si>
  <si>
    <t xml:space="preserve">F/G ratio</t>
  </si>
  <si>
    <t xml:space="preserve">stosunek fruktoza/glukoza – nie był badany w tym zleceniu</t>
  </si>
  <si>
    <t xml:space="preserve">HD elements</t>
  </si>
  <si>
    <t xml:space="preserve">elementy spadziowe (honeydew)</t>
  </si>
  <si>
    <t xml:space="preserve">ŹRÓDŁO DANYCH: raporty z projektu — QSI (ODER_23_2026_*), Eurofins (AR-26-TH-*), Intertek (pliki z nazwą próbki), Puławy (*_PUŁAWY). Wszystkie wartości odczytane bezpośrednio z raportów; nic nie zostało oszacowane.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</si>
</sst>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7F6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4F81BD"/>
      </patternFill>
    </fill>
    <fill>
      <patternFill patternType="solid">
        <fgColor rgb="FF8EA9DB"/>
        <bgColor rgb="FF969696"/>
      </patternFill>
    </fill>
    <fill>
      <patternFill patternType="solid">
        <fgColor rgb="FFDDEBF7"/>
        <bgColor rgb="FFE2EFDA"/>
      </patternFill>
    </fill>
    <fill>
      <patternFill patternType="solid">
        <fgColor rgb="FFFCE4E4"/>
        <bgColor rgb="FFF2F2F2"/>
      </patternFill>
    </fill>
    <fill>
      <patternFill patternType="solid">
        <fgColor rgb="FFFFF2CC"/>
        <bgColor rgb="FFFCE4E4"/>
      </patternFill>
    </fill>
    <fill>
      <patternFill patternType="solid">
        <fgColor rgb="FFE2EFDA"/>
        <bgColor rgb="FFDDEBF7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78787"/>
      <rgbColor rgb="FF8EA9DB"/>
      <rgbColor rgb="FFC0504D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E4"/>
      <rgbColor rgb="FF2E75B6"/>
      <rgbColor rgb="FF33CCCC"/>
      <rgbColor rgb="FF9BBB59"/>
      <rgbColor rgb="FFFFCC00"/>
      <rgbColor rgb="FFFF9900"/>
      <rgbColor rgb="FFFF6600"/>
      <rgbColor rgb="FF4F81BD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Przewodność elektryczna [mS/cm]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Przewodność!B3</c:f>
              <c:strCache>
                <c:ptCount val="1"/>
                <c:pt idx="0">
                  <c:v>QSI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Przewodność!$A$4:$A$10</c:f>
              <c:strCache>
                <c:ptCount val="7"/>
                <c:pt idx="0">
                  <c:v>25C062101</c:v>
                </c:pt>
                <c:pt idx="1">
                  <c:v>CQ23120101-2</c:v>
                </c:pt>
                <c:pt idx="2">
                  <c:v>CQ25111501-1</c:v>
                </c:pt>
                <c:pt idx="3">
                  <c:v>250906</c:v>
                </c:pt>
                <c:pt idx="4">
                  <c:v>21/05</c:v>
                </c:pt>
                <c:pt idx="5">
                  <c:v>4/02/2029</c:v>
                </c:pt>
                <c:pt idx="6">
                  <c:v>02/09</c:v>
                </c:pt>
              </c:strCache>
            </c:strRef>
          </c:cat>
          <c:val>
            <c:numRef>
              <c:f>Przewodność!$B$4:$B$10</c:f>
              <c:numCache>
                <c:formatCode>0.00</c:formatCode>
                <c:ptCount val="7"/>
                <c:pt idx="0">
                  <c:v>0.12</c:v>
                </c:pt>
                <c:pt idx="1">
                  <c:v>0.19</c:v>
                </c:pt>
                <c:pt idx="2">
                  <c:v>0.31</c:v>
                </c:pt>
                <c:pt idx="3">
                  <c:v>0.13</c:v>
                </c:pt>
                <c:pt idx="4">
                  <c:v>0.07</c:v>
                </c:pt>
                <c:pt idx="5">
                  <c:v>0.27</c:v>
                </c:pt>
                <c:pt idx="6">
                  <c:v>0.11</c:v>
                </c:pt>
              </c:numCache>
            </c:numRef>
          </c:val>
        </c:ser>
        <c:ser>
          <c:idx val="1"/>
          <c:order val="1"/>
          <c:tx>
            <c:strRef>
              <c:f>Przewodność!C3</c:f>
              <c:strCache>
                <c:ptCount val="1"/>
                <c:pt idx="0">
                  <c:v>Eurofins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Przewodność!$A$4:$A$10</c:f>
              <c:strCache>
                <c:ptCount val="7"/>
                <c:pt idx="0">
                  <c:v>25C062101</c:v>
                </c:pt>
                <c:pt idx="1">
                  <c:v>CQ23120101-2</c:v>
                </c:pt>
                <c:pt idx="2">
                  <c:v>CQ25111501-1</c:v>
                </c:pt>
                <c:pt idx="3">
                  <c:v>250906</c:v>
                </c:pt>
                <c:pt idx="4">
                  <c:v>21/05</c:v>
                </c:pt>
                <c:pt idx="5">
                  <c:v>4/02/2029</c:v>
                </c:pt>
                <c:pt idx="6">
                  <c:v>02/09</c:v>
                </c:pt>
              </c:strCache>
            </c:strRef>
          </c:cat>
          <c:val>
            <c:numRef>
              <c:f>Przewodność!$C$4:$C$10</c:f>
              <c:numCache>
                <c:formatCode>0.00</c:formatCode>
                <c:ptCount val="7"/>
                <c:pt idx="0">
                  <c:v>0.12</c:v>
                </c:pt>
                <c:pt idx="1">
                  <c:v>0.19</c:v>
                </c:pt>
                <c:pt idx="2">
                  <c:v>0.33</c:v>
                </c:pt>
                <c:pt idx="3">
                  <c:v>0.14</c:v>
                </c:pt>
                <c:pt idx="4">
                  <c:v>0.76</c:v>
                </c:pt>
                <c:pt idx="5">
                  <c:v>0.25</c:v>
                </c:pt>
                <c:pt idx="6">
                  <c:v>0.84</c:v>
                </c:pt>
              </c:numCache>
            </c:numRef>
          </c:val>
        </c:ser>
        <c:ser>
          <c:idx val="2"/>
          <c:order val="2"/>
          <c:tx>
            <c:strRef>
              <c:f>Przewodność!D3</c:f>
              <c:strCache>
                <c:ptCount val="1"/>
                <c:pt idx="0">
                  <c:v>Intertek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Przewodność!$A$4:$A$10</c:f>
              <c:strCache>
                <c:ptCount val="7"/>
                <c:pt idx="0">
                  <c:v>25C062101</c:v>
                </c:pt>
                <c:pt idx="1">
                  <c:v>CQ23120101-2</c:v>
                </c:pt>
                <c:pt idx="2">
                  <c:v>CQ25111501-1</c:v>
                </c:pt>
                <c:pt idx="3">
                  <c:v>250906</c:v>
                </c:pt>
                <c:pt idx="4">
                  <c:v>21/05</c:v>
                </c:pt>
                <c:pt idx="5">
                  <c:v>4/02/2029</c:v>
                </c:pt>
                <c:pt idx="6">
                  <c:v>02/09</c:v>
                </c:pt>
              </c:strCache>
            </c:strRef>
          </c:cat>
          <c:val>
            <c:numRef>
              <c:f>Przewodność!$D$4:$D$10</c:f>
              <c:numCache>
                <c:formatCode>0.00</c:formatCode>
                <c:ptCount val="7"/>
                <c:pt idx="0">
                  <c:v>0.12</c:v>
                </c:pt>
                <c:pt idx="1">
                  <c:v>0.19</c:v>
                </c:pt>
                <c:pt idx="2">
                  <c:v>0.34</c:v>
                </c:pt>
                <c:pt idx="3">
                  <c:v>0.14</c:v>
                </c:pt>
                <c:pt idx="4">
                  <c:v>0.08</c:v>
                </c:pt>
                <c:pt idx="5">
                  <c:v>0.24</c:v>
                </c:pt>
                <c:pt idx="6">
                  <c:v>0.08</c:v>
                </c:pt>
              </c:numCache>
            </c:numRef>
          </c:val>
        </c:ser>
        <c:gapWidth val="150"/>
        <c:overlap val="0"/>
        <c:axId val="61573742"/>
        <c:axId val="41477919"/>
      </c:barChart>
      <c:catAx>
        <c:axId val="6157374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Próbka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477919"/>
        <c:crosses val="autoZero"/>
        <c:auto val="1"/>
        <c:lblAlgn val="ctr"/>
        <c:lblOffset val="100"/>
        <c:noMultiLvlLbl val="0"/>
      </c:catAx>
      <c:valAx>
        <c:axId val="414779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mS/cm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57374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175680</xdr:rowOff>
    </xdr:from>
    <xdr:to>
      <xdr:col>18</xdr:col>
      <xdr:colOff>473040</xdr:colOff>
      <xdr:row>18</xdr:row>
      <xdr:rowOff>176760</xdr:rowOff>
    </xdr:to>
    <xdr:graphicFrame>
      <xdr:nvGraphicFramePr>
        <xdr:cNvPr id="0" name="Chart 1"/>
        <xdr:cNvGraphicFramePr/>
      </xdr:nvGraphicFramePr>
      <xdr:xfrm>
        <a:off x="6320880" y="38088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9" min="2" style="0" width="26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4" customFormat="false" ht="15" hidden="false" customHeight="true" outlineLevel="0" collapsed="false">
      <c r="A4" s="3" t="s">
        <v>2</v>
      </c>
      <c r="B4" s="3" t="s">
        <v>3</v>
      </c>
      <c r="C4" s="3"/>
      <c r="D4" s="3"/>
      <c r="E4" s="3"/>
      <c r="F4" s="3" t="s">
        <v>4</v>
      </c>
      <c r="G4" s="3"/>
      <c r="H4" s="3"/>
      <c r="I4" s="3"/>
      <c r="J4" s="3" t="s">
        <v>5</v>
      </c>
      <c r="K4" s="3"/>
      <c r="L4" s="3"/>
      <c r="M4" s="3"/>
      <c r="N4" s="3" t="s">
        <v>6</v>
      </c>
      <c r="O4" s="3"/>
      <c r="P4" s="3"/>
      <c r="Q4" s="3"/>
      <c r="R4" s="3" t="s">
        <v>7</v>
      </c>
      <c r="S4" s="3"/>
      <c r="T4" s="3"/>
      <c r="U4" s="3"/>
      <c r="V4" s="3" t="s">
        <v>8</v>
      </c>
      <c r="W4" s="3"/>
      <c r="X4" s="3"/>
      <c r="Y4" s="3"/>
      <c r="Z4" s="3" t="s">
        <v>9</v>
      </c>
      <c r="AA4" s="3"/>
      <c r="AB4" s="3"/>
      <c r="AC4" s="3"/>
    </row>
    <row r="5" customFormat="false" ht="15" hidden="false" customHeight="false" outlineLevel="0" collapsed="false">
      <c r="A5" s="3"/>
      <c r="B5" s="4" t="s">
        <v>10</v>
      </c>
      <c r="C5" s="4" t="s">
        <v>11</v>
      </c>
      <c r="D5" s="4" t="s">
        <v>12</v>
      </c>
      <c r="E5" s="4" t="s">
        <v>13</v>
      </c>
      <c r="F5" s="4" t="s">
        <v>10</v>
      </c>
      <c r="G5" s="4" t="s">
        <v>11</v>
      </c>
      <c r="H5" s="4" t="s">
        <v>12</v>
      </c>
      <c r="I5" s="4" t="s">
        <v>13</v>
      </c>
      <c r="J5" s="4" t="s">
        <v>10</v>
      </c>
      <c r="K5" s="4" t="s">
        <v>11</v>
      </c>
      <c r="L5" s="4" t="s">
        <v>12</v>
      </c>
      <c r="M5" s="4" t="s">
        <v>13</v>
      </c>
      <c r="N5" s="4" t="s">
        <v>10</v>
      </c>
      <c r="O5" s="4" t="s">
        <v>11</v>
      </c>
      <c r="P5" s="4" t="s">
        <v>12</v>
      </c>
      <c r="Q5" s="4" t="s">
        <v>13</v>
      </c>
      <c r="R5" s="4" t="s">
        <v>10</v>
      </c>
      <c r="S5" s="4" t="s">
        <v>11</v>
      </c>
      <c r="T5" s="4" t="s">
        <v>12</v>
      </c>
      <c r="U5" s="4" t="s">
        <v>13</v>
      </c>
      <c r="V5" s="4" t="s">
        <v>10</v>
      </c>
      <c r="W5" s="4" t="s">
        <v>11</v>
      </c>
      <c r="X5" s="4" t="s">
        <v>12</v>
      </c>
      <c r="Y5" s="4" t="s">
        <v>13</v>
      </c>
      <c r="Z5" s="4" t="s">
        <v>10</v>
      </c>
      <c r="AA5" s="4" t="s">
        <v>11</v>
      </c>
      <c r="AB5" s="4" t="s">
        <v>12</v>
      </c>
      <c r="AC5" s="4" t="s">
        <v>13</v>
      </c>
    </row>
    <row r="6" customFormat="false" ht="18" hidden="false" customHeight="true" outlineLevel="0" collapsed="false">
      <c r="A6" s="5" t="s">
        <v>14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customFormat="false" ht="57.75" hidden="false" customHeight="true" outlineLevel="0" collapsed="false">
      <c r="A7" s="7" t="s">
        <v>15</v>
      </c>
      <c r="B7" s="8" t="s">
        <v>16</v>
      </c>
      <c r="C7" s="8" t="s">
        <v>17</v>
      </c>
      <c r="D7" s="8" t="s">
        <v>18</v>
      </c>
      <c r="E7" s="8" t="s">
        <v>19</v>
      </c>
      <c r="F7" s="8" t="s">
        <v>16</v>
      </c>
      <c r="G7" s="8" t="s">
        <v>20</v>
      </c>
      <c r="H7" s="8" t="s">
        <v>21</v>
      </c>
      <c r="I7" s="8" t="s">
        <v>22</v>
      </c>
      <c r="J7" s="8" t="s">
        <v>16</v>
      </c>
      <c r="K7" s="8" t="s">
        <v>20</v>
      </c>
      <c r="L7" s="8" t="s">
        <v>21</v>
      </c>
      <c r="M7" s="8" t="s">
        <v>23</v>
      </c>
      <c r="N7" s="8" t="s">
        <v>16</v>
      </c>
      <c r="O7" s="8" t="s">
        <v>17</v>
      </c>
      <c r="P7" s="8" t="s">
        <v>18</v>
      </c>
      <c r="Q7" s="8" t="s">
        <v>19</v>
      </c>
      <c r="R7" s="8" t="s">
        <v>24</v>
      </c>
      <c r="S7" s="8" t="s">
        <v>20</v>
      </c>
      <c r="T7" s="8" t="s">
        <v>21</v>
      </c>
      <c r="U7" s="8" t="s">
        <v>25</v>
      </c>
      <c r="V7" s="8" t="s">
        <v>16</v>
      </c>
      <c r="W7" s="8" t="s">
        <v>20</v>
      </c>
      <c r="X7" s="8" t="s">
        <v>21</v>
      </c>
      <c r="Y7" s="8" t="s">
        <v>23</v>
      </c>
      <c r="Z7" s="8" t="s">
        <v>24</v>
      </c>
      <c r="AA7" s="8" t="s">
        <v>20</v>
      </c>
      <c r="AB7" s="8" t="s">
        <v>21</v>
      </c>
      <c r="AC7" s="8" t="s">
        <v>26</v>
      </c>
    </row>
    <row r="8" customFormat="false" ht="57.75" hidden="false" customHeight="true" outlineLevel="0" collapsed="false">
      <c r="A8" s="7" t="s">
        <v>27</v>
      </c>
      <c r="B8" s="8" t="s">
        <v>28</v>
      </c>
      <c r="C8" s="8" t="s">
        <v>29</v>
      </c>
      <c r="D8" s="8" t="s">
        <v>28</v>
      </c>
      <c r="E8" s="8" t="s">
        <v>28</v>
      </c>
      <c r="F8" s="8" t="s">
        <v>30</v>
      </c>
      <c r="G8" s="8" t="s">
        <v>31</v>
      </c>
      <c r="H8" s="8" t="s">
        <v>31</v>
      </c>
      <c r="I8" s="8" t="s">
        <v>32</v>
      </c>
      <c r="J8" s="8" t="s">
        <v>28</v>
      </c>
      <c r="K8" s="8" t="s">
        <v>28</v>
      </c>
      <c r="L8" s="8" t="s">
        <v>28</v>
      </c>
      <c r="M8" s="8" t="s">
        <v>33</v>
      </c>
      <c r="N8" s="8" t="s">
        <v>28</v>
      </c>
      <c r="O8" s="8" t="s">
        <v>28</v>
      </c>
      <c r="P8" s="8" t="s">
        <v>28</v>
      </c>
      <c r="Q8" s="8" t="s">
        <v>28</v>
      </c>
      <c r="R8" s="8" t="s">
        <v>30</v>
      </c>
      <c r="S8" s="8" t="s">
        <v>34</v>
      </c>
      <c r="T8" s="8" t="s">
        <v>31</v>
      </c>
      <c r="U8" s="8" t="s">
        <v>35</v>
      </c>
      <c r="V8" s="8" t="s">
        <v>28</v>
      </c>
      <c r="W8" s="8" t="s">
        <v>36</v>
      </c>
      <c r="X8" s="8" t="s">
        <v>31</v>
      </c>
      <c r="Y8" s="8" t="s">
        <v>28</v>
      </c>
      <c r="Z8" s="8" t="s">
        <v>28</v>
      </c>
      <c r="AA8" s="8" t="s">
        <v>36</v>
      </c>
      <c r="AB8" s="8" t="s">
        <v>31</v>
      </c>
      <c r="AC8" s="8" t="s">
        <v>28</v>
      </c>
    </row>
    <row r="9" customFormat="false" ht="57.75" hidden="false" customHeight="true" outlineLevel="0" collapsed="false">
      <c r="A9" s="7" t="s">
        <v>37</v>
      </c>
      <c r="B9" s="9" t="s">
        <v>38</v>
      </c>
      <c r="C9" s="10" t="s">
        <v>39</v>
      </c>
      <c r="D9" s="10" t="s">
        <v>40</v>
      </c>
      <c r="E9" s="8" t="s">
        <v>41</v>
      </c>
      <c r="F9" s="10" t="s">
        <v>42</v>
      </c>
      <c r="G9" s="10" t="s">
        <v>43</v>
      </c>
      <c r="H9" s="10" t="s">
        <v>40</v>
      </c>
      <c r="I9" s="8" t="s">
        <v>44</v>
      </c>
      <c r="J9" s="10" t="s">
        <v>42</v>
      </c>
      <c r="K9" s="10" t="s">
        <v>40</v>
      </c>
      <c r="L9" s="11" t="s">
        <v>45</v>
      </c>
      <c r="M9" s="9" t="s">
        <v>46</v>
      </c>
      <c r="N9" s="9" t="s">
        <v>38</v>
      </c>
      <c r="O9" s="10" t="s">
        <v>39</v>
      </c>
      <c r="P9" s="11" t="s">
        <v>45</v>
      </c>
      <c r="Q9" s="9" t="s">
        <v>47</v>
      </c>
      <c r="R9" s="9" t="s">
        <v>38</v>
      </c>
      <c r="S9" s="9" t="s">
        <v>38</v>
      </c>
      <c r="T9" s="9" t="s">
        <v>38</v>
      </c>
      <c r="U9" s="8" t="s">
        <v>48</v>
      </c>
      <c r="V9" s="8" t="s">
        <v>49</v>
      </c>
      <c r="W9" s="10" t="s">
        <v>40</v>
      </c>
      <c r="X9" s="11" t="s">
        <v>45</v>
      </c>
      <c r="Y9" s="8" t="s">
        <v>50</v>
      </c>
      <c r="Z9" s="9" t="s">
        <v>38</v>
      </c>
      <c r="AA9" s="8" t="s">
        <v>51</v>
      </c>
      <c r="AB9" s="9" t="s">
        <v>38</v>
      </c>
      <c r="AC9" s="9" t="s">
        <v>52</v>
      </c>
    </row>
    <row r="10" customFormat="false" ht="57.75" hidden="false" customHeight="true" outlineLevel="0" collapsed="false">
      <c r="A10" s="7" t="s">
        <v>53</v>
      </c>
      <c r="B10" s="9" t="s">
        <v>38</v>
      </c>
      <c r="C10" s="10" t="s">
        <v>54</v>
      </c>
      <c r="D10" s="10" t="s">
        <v>55</v>
      </c>
      <c r="E10" s="8" t="s">
        <v>56</v>
      </c>
      <c r="F10" s="10" t="s">
        <v>42</v>
      </c>
      <c r="G10" s="10" t="s">
        <v>57</v>
      </c>
      <c r="H10" s="10" t="s">
        <v>58</v>
      </c>
      <c r="I10" s="8" t="s">
        <v>59</v>
      </c>
      <c r="J10" s="10" t="s">
        <v>42</v>
      </c>
      <c r="K10" s="10" t="s">
        <v>60</v>
      </c>
      <c r="L10" s="8" t="s">
        <v>61</v>
      </c>
      <c r="M10" s="8" t="s">
        <v>62</v>
      </c>
      <c r="N10" s="9" t="s">
        <v>38</v>
      </c>
      <c r="O10" s="10" t="s">
        <v>63</v>
      </c>
      <c r="P10" s="8" t="s">
        <v>64</v>
      </c>
      <c r="Q10" s="8" t="s">
        <v>62</v>
      </c>
      <c r="R10" s="9" t="s">
        <v>38</v>
      </c>
      <c r="S10" s="9" t="s">
        <v>65</v>
      </c>
      <c r="T10" s="9" t="s">
        <v>66</v>
      </c>
      <c r="U10" s="8" t="s">
        <v>67</v>
      </c>
      <c r="V10" s="8" t="s">
        <v>49</v>
      </c>
      <c r="W10" s="10" t="s">
        <v>68</v>
      </c>
      <c r="X10" s="8" t="s">
        <v>69</v>
      </c>
      <c r="Y10" s="8" t="s">
        <v>70</v>
      </c>
      <c r="Z10" s="9" t="s">
        <v>38</v>
      </c>
      <c r="AA10" s="9" t="s">
        <v>71</v>
      </c>
      <c r="AB10" s="9" t="s">
        <v>66</v>
      </c>
      <c r="AC10" s="8" t="s">
        <v>72</v>
      </c>
    </row>
    <row r="11" customFormat="false" ht="18" hidden="false" customHeight="true" outlineLevel="0" collapsed="false">
      <c r="A11" s="5" t="s">
        <v>73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customFormat="false" ht="57.75" hidden="false" customHeight="true" outlineLevel="0" collapsed="false">
      <c r="A12" s="7" t="s">
        <v>74</v>
      </c>
      <c r="B12" s="8" t="s">
        <v>75</v>
      </c>
      <c r="C12" s="8" t="s">
        <v>76</v>
      </c>
      <c r="D12" s="8" t="s">
        <v>75</v>
      </c>
      <c r="E12" s="12" t="s">
        <v>77</v>
      </c>
      <c r="F12" s="8" t="s">
        <v>78</v>
      </c>
      <c r="G12" s="8" t="s">
        <v>79</v>
      </c>
      <c r="H12" s="8" t="s">
        <v>78</v>
      </c>
      <c r="I12" s="12" t="s">
        <v>77</v>
      </c>
      <c r="J12" s="8" t="s">
        <v>80</v>
      </c>
      <c r="K12" s="8" t="s">
        <v>81</v>
      </c>
      <c r="L12" s="8" t="s">
        <v>82</v>
      </c>
      <c r="M12" s="12" t="s">
        <v>77</v>
      </c>
      <c r="N12" s="8" t="s">
        <v>83</v>
      </c>
      <c r="O12" s="8" t="s">
        <v>84</v>
      </c>
      <c r="P12" s="8" t="s">
        <v>85</v>
      </c>
      <c r="Q12" s="12" t="s">
        <v>77</v>
      </c>
      <c r="R12" s="8" t="s">
        <v>86</v>
      </c>
      <c r="S12" s="8" t="s">
        <v>87</v>
      </c>
      <c r="T12" s="8" t="s">
        <v>88</v>
      </c>
      <c r="U12" s="12" t="s">
        <v>77</v>
      </c>
      <c r="V12" s="8" t="s">
        <v>89</v>
      </c>
      <c r="W12" s="8" t="s">
        <v>90</v>
      </c>
      <c r="X12" s="8" t="s">
        <v>91</v>
      </c>
      <c r="Y12" s="12" t="s">
        <v>77</v>
      </c>
      <c r="Z12" s="8" t="s">
        <v>92</v>
      </c>
      <c r="AA12" s="8" t="s">
        <v>93</v>
      </c>
      <c r="AB12" s="8" t="s">
        <v>88</v>
      </c>
      <c r="AC12" s="12" t="s">
        <v>77</v>
      </c>
    </row>
    <row r="13" customFormat="false" ht="57.75" hidden="false" customHeight="true" outlineLevel="0" collapsed="false">
      <c r="A13" s="7" t="s">
        <v>94</v>
      </c>
      <c r="B13" s="10" t="s">
        <v>95</v>
      </c>
      <c r="C13" s="10" t="s">
        <v>96</v>
      </c>
      <c r="D13" s="10" t="s">
        <v>97</v>
      </c>
      <c r="E13" s="12" t="s">
        <v>77</v>
      </c>
      <c r="F13" s="9" t="s">
        <v>98</v>
      </c>
      <c r="G13" s="10" t="s">
        <v>99</v>
      </c>
      <c r="H13" s="10" t="s">
        <v>97</v>
      </c>
      <c r="I13" s="12" t="s">
        <v>77</v>
      </c>
      <c r="J13" s="10" t="s">
        <v>100</v>
      </c>
      <c r="K13" s="10" t="s">
        <v>99</v>
      </c>
      <c r="L13" s="10" t="s">
        <v>97</v>
      </c>
      <c r="M13" s="12" t="s">
        <v>77</v>
      </c>
      <c r="N13" s="10" t="s">
        <v>95</v>
      </c>
      <c r="O13" s="10" t="s">
        <v>96</v>
      </c>
      <c r="P13" s="10" t="s">
        <v>97</v>
      </c>
      <c r="Q13" s="12" t="s">
        <v>77</v>
      </c>
      <c r="R13" s="8" t="s">
        <v>101</v>
      </c>
      <c r="S13" s="10" t="s">
        <v>96</v>
      </c>
      <c r="T13" s="10" t="s">
        <v>97</v>
      </c>
      <c r="U13" s="12" t="s">
        <v>77</v>
      </c>
      <c r="V13" s="10" t="s">
        <v>95</v>
      </c>
      <c r="W13" s="10" t="s">
        <v>96</v>
      </c>
      <c r="X13" s="10" t="s">
        <v>102</v>
      </c>
      <c r="Y13" s="12" t="s">
        <v>77</v>
      </c>
      <c r="Z13" s="9" t="s">
        <v>103</v>
      </c>
      <c r="AA13" s="10" t="s">
        <v>96</v>
      </c>
      <c r="AB13" s="10" t="s">
        <v>97</v>
      </c>
      <c r="AC13" s="12" t="s">
        <v>77</v>
      </c>
    </row>
    <row r="14" customFormat="false" ht="57.75" hidden="false" customHeight="true" outlineLevel="0" collapsed="false">
      <c r="A14" s="7" t="s">
        <v>104</v>
      </c>
      <c r="B14" s="8" t="s">
        <v>105</v>
      </c>
      <c r="C14" s="8" t="s">
        <v>106</v>
      </c>
      <c r="D14" s="8" t="s">
        <v>107</v>
      </c>
      <c r="E14" s="12" t="s">
        <v>77</v>
      </c>
      <c r="F14" s="8" t="s">
        <v>105</v>
      </c>
      <c r="G14" s="8" t="s">
        <v>106</v>
      </c>
      <c r="H14" s="8" t="s">
        <v>107</v>
      </c>
      <c r="I14" s="12" t="s">
        <v>77</v>
      </c>
      <c r="J14" s="8" t="s">
        <v>105</v>
      </c>
      <c r="K14" s="8" t="s">
        <v>106</v>
      </c>
      <c r="L14" s="8" t="s">
        <v>107</v>
      </c>
      <c r="M14" s="12" t="s">
        <v>77</v>
      </c>
      <c r="N14" s="8" t="s">
        <v>105</v>
      </c>
      <c r="O14" s="8" t="s">
        <v>106</v>
      </c>
      <c r="P14" s="8" t="s">
        <v>107</v>
      </c>
      <c r="Q14" s="12" t="s">
        <v>77</v>
      </c>
      <c r="R14" s="8" t="s">
        <v>105</v>
      </c>
      <c r="S14" s="8" t="s">
        <v>106</v>
      </c>
      <c r="T14" s="8" t="s">
        <v>107</v>
      </c>
      <c r="U14" s="12" t="s">
        <v>77</v>
      </c>
      <c r="V14" s="8" t="s">
        <v>105</v>
      </c>
      <c r="W14" s="8" t="s">
        <v>106</v>
      </c>
      <c r="X14" s="8" t="s">
        <v>107</v>
      </c>
      <c r="Y14" s="12" t="s">
        <v>77</v>
      </c>
      <c r="Z14" s="8" t="s">
        <v>105</v>
      </c>
      <c r="AA14" s="8" t="s">
        <v>106</v>
      </c>
      <c r="AB14" s="8" t="s">
        <v>107</v>
      </c>
      <c r="AC14" s="12" t="s">
        <v>77</v>
      </c>
    </row>
    <row r="15" customFormat="false" ht="18" hidden="false" customHeight="true" outlineLevel="0" collapsed="false">
      <c r="A15" s="5" t="s">
        <v>108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 customFormat="false" ht="57.75" hidden="false" customHeight="true" outlineLevel="0" collapsed="false">
      <c r="A16" s="7" t="s">
        <v>109</v>
      </c>
      <c r="B16" s="8" t="s">
        <v>110</v>
      </c>
      <c r="C16" s="8" t="s">
        <v>111</v>
      </c>
      <c r="D16" s="12" t="s">
        <v>77</v>
      </c>
      <c r="E16" s="12" t="s">
        <v>77</v>
      </c>
      <c r="F16" s="8" t="s">
        <v>112</v>
      </c>
      <c r="G16" s="8" t="s">
        <v>113</v>
      </c>
      <c r="H16" s="12" t="s">
        <v>77</v>
      </c>
      <c r="I16" s="12" t="s">
        <v>77</v>
      </c>
      <c r="J16" s="8" t="s">
        <v>114</v>
      </c>
      <c r="K16" s="8" t="s">
        <v>115</v>
      </c>
      <c r="L16" s="12" t="s">
        <v>77</v>
      </c>
      <c r="M16" s="12" t="s">
        <v>77</v>
      </c>
      <c r="N16" s="8" t="s">
        <v>116</v>
      </c>
      <c r="O16" s="8" t="s">
        <v>117</v>
      </c>
      <c r="P16" s="12" t="s">
        <v>77</v>
      </c>
      <c r="Q16" s="12" t="s">
        <v>77</v>
      </c>
      <c r="R16" s="8" t="s">
        <v>118</v>
      </c>
      <c r="S16" s="8" t="s">
        <v>119</v>
      </c>
      <c r="T16" s="12" t="s">
        <v>77</v>
      </c>
      <c r="U16" s="12" t="s">
        <v>77</v>
      </c>
      <c r="V16" s="8" t="s">
        <v>120</v>
      </c>
      <c r="W16" s="8" t="s">
        <v>121</v>
      </c>
      <c r="X16" s="12" t="s">
        <v>77</v>
      </c>
      <c r="Y16" s="12" t="s">
        <v>77</v>
      </c>
      <c r="Z16" s="8" t="s">
        <v>122</v>
      </c>
      <c r="AA16" s="8" t="s">
        <v>123</v>
      </c>
      <c r="AB16" s="12" t="s">
        <v>77</v>
      </c>
      <c r="AC16" s="12" t="s">
        <v>77</v>
      </c>
    </row>
    <row r="17" customFormat="false" ht="57.75" hidden="false" customHeight="true" outlineLevel="0" collapsed="false">
      <c r="A17" s="7" t="s">
        <v>124</v>
      </c>
      <c r="B17" s="12" t="s">
        <v>77</v>
      </c>
      <c r="C17" s="8" t="s">
        <v>125</v>
      </c>
      <c r="D17" s="12" t="s">
        <v>77</v>
      </c>
      <c r="E17" s="12" t="s">
        <v>77</v>
      </c>
      <c r="F17" s="12" t="s">
        <v>77</v>
      </c>
      <c r="G17" s="8" t="s">
        <v>126</v>
      </c>
      <c r="H17" s="12" t="s">
        <v>77</v>
      </c>
      <c r="I17" s="12" t="s">
        <v>77</v>
      </c>
      <c r="J17" s="12" t="s">
        <v>77</v>
      </c>
      <c r="K17" s="8" t="s">
        <v>127</v>
      </c>
      <c r="L17" s="12" t="s">
        <v>77</v>
      </c>
      <c r="M17" s="12" t="s">
        <v>77</v>
      </c>
      <c r="N17" s="12" t="s">
        <v>77</v>
      </c>
      <c r="O17" s="8" t="s">
        <v>128</v>
      </c>
      <c r="P17" s="12" t="s">
        <v>77</v>
      </c>
      <c r="Q17" s="12" t="s">
        <v>77</v>
      </c>
      <c r="R17" s="12" t="s">
        <v>77</v>
      </c>
      <c r="S17" s="8" t="s">
        <v>125</v>
      </c>
      <c r="T17" s="12" t="s">
        <v>77</v>
      </c>
      <c r="U17" s="12" t="s">
        <v>77</v>
      </c>
      <c r="V17" s="12" t="s">
        <v>77</v>
      </c>
      <c r="W17" s="8" t="s">
        <v>126</v>
      </c>
      <c r="X17" s="12" t="s">
        <v>77</v>
      </c>
      <c r="Y17" s="12" t="s">
        <v>77</v>
      </c>
      <c r="Z17" s="12" t="s">
        <v>77</v>
      </c>
      <c r="AA17" s="8" t="s">
        <v>126</v>
      </c>
      <c r="AB17" s="12" t="s">
        <v>77</v>
      </c>
      <c r="AC17" s="12" t="s">
        <v>77</v>
      </c>
    </row>
    <row r="18" customFormat="false" ht="57.75" hidden="false" customHeight="true" outlineLevel="0" collapsed="false">
      <c r="A18" s="7" t="s">
        <v>129</v>
      </c>
      <c r="B18" s="12" t="s">
        <v>77</v>
      </c>
      <c r="C18" s="8" t="s">
        <v>130</v>
      </c>
      <c r="D18" s="12" t="s">
        <v>77</v>
      </c>
      <c r="E18" s="12" t="s">
        <v>77</v>
      </c>
      <c r="F18" s="12" t="s">
        <v>77</v>
      </c>
      <c r="G18" s="8" t="s">
        <v>131</v>
      </c>
      <c r="H18" s="10" t="s">
        <v>132</v>
      </c>
      <c r="I18" s="12" t="s">
        <v>77</v>
      </c>
      <c r="J18" s="12" t="s">
        <v>77</v>
      </c>
      <c r="K18" s="8" t="s">
        <v>133</v>
      </c>
      <c r="L18" s="12" t="s">
        <v>77</v>
      </c>
      <c r="M18" s="12" t="s">
        <v>77</v>
      </c>
      <c r="N18" s="12" t="s">
        <v>77</v>
      </c>
      <c r="O18" s="8" t="s">
        <v>134</v>
      </c>
      <c r="P18" s="12" t="s">
        <v>77</v>
      </c>
      <c r="Q18" s="12" t="s">
        <v>77</v>
      </c>
      <c r="R18" s="12" t="s">
        <v>77</v>
      </c>
      <c r="S18" s="8" t="s">
        <v>135</v>
      </c>
      <c r="T18" s="10" t="s">
        <v>132</v>
      </c>
      <c r="U18" s="12" t="s">
        <v>77</v>
      </c>
      <c r="V18" s="12" t="s">
        <v>77</v>
      </c>
      <c r="W18" s="8" t="s">
        <v>136</v>
      </c>
      <c r="X18" s="12" t="s">
        <v>77</v>
      </c>
      <c r="Y18" s="12" t="s">
        <v>77</v>
      </c>
      <c r="Z18" s="12" t="s">
        <v>77</v>
      </c>
      <c r="AA18" s="8" t="s">
        <v>137</v>
      </c>
      <c r="AB18" s="12" t="s">
        <v>77</v>
      </c>
      <c r="AC18" s="12" t="s">
        <v>77</v>
      </c>
    </row>
    <row r="19" customFormat="false" ht="57.75" hidden="false" customHeight="true" outlineLevel="0" collapsed="false">
      <c r="A19" s="7" t="s">
        <v>138</v>
      </c>
      <c r="B19" s="8" t="s">
        <v>139</v>
      </c>
      <c r="C19" s="8" t="s">
        <v>140</v>
      </c>
      <c r="D19" s="8" t="s">
        <v>141</v>
      </c>
      <c r="E19" s="12" t="s">
        <v>77</v>
      </c>
      <c r="F19" s="8" t="s">
        <v>139</v>
      </c>
      <c r="G19" s="8" t="s">
        <v>140</v>
      </c>
      <c r="H19" s="8" t="s">
        <v>141</v>
      </c>
      <c r="I19" s="12" t="s">
        <v>77</v>
      </c>
      <c r="J19" s="8" t="s">
        <v>139</v>
      </c>
      <c r="K19" s="8" t="s">
        <v>142</v>
      </c>
      <c r="L19" s="8" t="s">
        <v>141</v>
      </c>
      <c r="M19" s="12" t="s">
        <v>77</v>
      </c>
      <c r="N19" s="8" t="s">
        <v>139</v>
      </c>
      <c r="O19" s="8" t="s">
        <v>140</v>
      </c>
      <c r="P19" s="8" t="s">
        <v>141</v>
      </c>
      <c r="Q19" s="12" t="s">
        <v>77</v>
      </c>
      <c r="R19" s="8" t="s">
        <v>139</v>
      </c>
      <c r="S19" s="8" t="s">
        <v>142</v>
      </c>
      <c r="T19" s="8" t="s">
        <v>141</v>
      </c>
      <c r="U19" s="12" t="s">
        <v>77</v>
      </c>
      <c r="V19" s="8" t="s">
        <v>139</v>
      </c>
      <c r="W19" s="8" t="s">
        <v>142</v>
      </c>
      <c r="X19" s="8" t="s">
        <v>141</v>
      </c>
      <c r="Y19" s="12" t="s">
        <v>77</v>
      </c>
      <c r="Z19" s="8" t="s">
        <v>139</v>
      </c>
      <c r="AA19" s="8" t="s">
        <v>142</v>
      </c>
      <c r="AB19" s="8" t="s">
        <v>141</v>
      </c>
      <c r="AC19" s="12" t="s">
        <v>77</v>
      </c>
    </row>
    <row r="20" customFormat="false" ht="57.75" hidden="false" customHeight="true" outlineLevel="0" collapsed="false">
      <c r="A20" s="7" t="s">
        <v>143</v>
      </c>
      <c r="B20" s="9" t="s">
        <v>144</v>
      </c>
      <c r="C20" s="9" t="s">
        <v>145</v>
      </c>
      <c r="D20" s="9" t="s">
        <v>146</v>
      </c>
      <c r="E20" s="12" t="s">
        <v>77</v>
      </c>
      <c r="F20" s="11" t="s">
        <v>45</v>
      </c>
      <c r="G20" s="9" t="s">
        <v>145</v>
      </c>
      <c r="H20" s="9" t="s">
        <v>146</v>
      </c>
      <c r="I20" s="12" t="s">
        <v>77</v>
      </c>
      <c r="J20" s="10" t="s">
        <v>147</v>
      </c>
      <c r="K20" s="9" t="s">
        <v>145</v>
      </c>
      <c r="L20" s="8" t="s">
        <v>148</v>
      </c>
      <c r="M20" s="12" t="s">
        <v>77</v>
      </c>
      <c r="N20" s="11" t="s">
        <v>149</v>
      </c>
      <c r="O20" s="9" t="s">
        <v>145</v>
      </c>
      <c r="P20" s="9" t="s">
        <v>146</v>
      </c>
      <c r="Q20" s="12" t="s">
        <v>77</v>
      </c>
      <c r="R20" s="9" t="s">
        <v>150</v>
      </c>
      <c r="S20" s="9" t="s">
        <v>145</v>
      </c>
      <c r="T20" s="9" t="s">
        <v>146</v>
      </c>
      <c r="U20" s="12" t="s">
        <v>77</v>
      </c>
      <c r="V20" s="10" t="s">
        <v>151</v>
      </c>
      <c r="W20" s="9" t="s">
        <v>145</v>
      </c>
      <c r="X20" s="8" t="s">
        <v>148</v>
      </c>
      <c r="Y20" s="12" t="s">
        <v>77</v>
      </c>
      <c r="Z20" s="10" t="s">
        <v>151</v>
      </c>
      <c r="AA20" s="9" t="s">
        <v>145</v>
      </c>
      <c r="AB20" s="9" t="s">
        <v>146</v>
      </c>
      <c r="AC20" s="12" t="s">
        <v>77</v>
      </c>
    </row>
    <row r="21" customFormat="false" ht="18" hidden="false" customHeight="true" outlineLevel="0" collapsed="false">
      <c r="A21" s="5" t="s">
        <v>152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 customFormat="false" ht="57.75" hidden="false" customHeight="true" outlineLevel="0" collapsed="false">
      <c r="A22" s="7" t="s">
        <v>153</v>
      </c>
      <c r="B22" s="8" t="s">
        <v>154</v>
      </c>
      <c r="C22" s="8" t="s">
        <v>155</v>
      </c>
      <c r="D22" s="8" t="s">
        <v>156</v>
      </c>
      <c r="E22" s="9" t="s">
        <v>157</v>
      </c>
      <c r="F22" s="8" t="s">
        <v>158</v>
      </c>
      <c r="G22" s="8" t="s">
        <v>158</v>
      </c>
      <c r="H22" s="8" t="s">
        <v>159</v>
      </c>
      <c r="I22" s="9" t="s">
        <v>157</v>
      </c>
      <c r="J22" s="8" t="s">
        <v>158</v>
      </c>
      <c r="K22" s="8" t="s">
        <v>160</v>
      </c>
      <c r="L22" s="8" t="s">
        <v>161</v>
      </c>
      <c r="M22" s="9" t="s">
        <v>157</v>
      </c>
      <c r="N22" s="8" t="s">
        <v>154</v>
      </c>
      <c r="O22" s="8" t="s">
        <v>162</v>
      </c>
      <c r="P22" s="8" t="s">
        <v>156</v>
      </c>
      <c r="Q22" s="9" t="s">
        <v>157</v>
      </c>
      <c r="R22" s="8" t="s">
        <v>154</v>
      </c>
      <c r="S22" s="9" t="s">
        <v>163</v>
      </c>
      <c r="T22" s="8" t="s">
        <v>154</v>
      </c>
      <c r="U22" s="9" t="s">
        <v>157</v>
      </c>
      <c r="V22" s="8" t="s">
        <v>158</v>
      </c>
      <c r="W22" s="8" t="s">
        <v>164</v>
      </c>
      <c r="X22" s="8" t="s">
        <v>158</v>
      </c>
      <c r="Y22" s="9" t="s">
        <v>157</v>
      </c>
      <c r="Z22" s="8" t="s">
        <v>154</v>
      </c>
      <c r="AA22" s="9" t="s">
        <v>163</v>
      </c>
      <c r="AB22" s="8" t="s">
        <v>154</v>
      </c>
      <c r="AC22" s="9" t="s">
        <v>157</v>
      </c>
    </row>
    <row r="23" customFormat="false" ht="57.75" hidden="false" customHeight="true" outlineLevel="0" collapsed="false">
      <c r="A23" s="7" t="s">
        <v>165</v>
      </c>
      <c r="B23" s="8" t="s">
        <v>166</v>
      </c>
      <c r="C23" s="8" t="s">
        <v>166</v>
      </c>
      <c r="D23" s="8" t="s">
        <v>166</v>
      </c>
      <c r="E23" s="12" t="s">
        <v>77</v>
      </c>
      <c r="F23" s="8" t="s">
        <v>166</v>
      </c>
      <c r="G23" s="8" t="s">
        <v>166</v>
      </c>
      <c r="H23" s="8" t="s">
        <v>166</v>
      </c>
      <c r="I23" s="12" t="s">
        <v>77</v>
      </c>
      <c r="J23" s="8" t="s">
        <v>166</v>
      </c>
      <c r="K23" s="8" t="s">
        <v>166</v>
      </c>
      <c r="L23" s="8" t="s">
        <v>166</v>
      </c>
      <c r="M23" s="12" t="s">
        <v>77</v>
      </c>
      <c r="N23" s="8" t="s">
        <v>166</v>
      </c>
      <c r="O23" s="8" t="s">
        <v>166</v>
      </c>
      <c r="P23" s="8" t="s">
        <v>166</v>
      </c>
      <c r="Q23" s="12" t="s">
        <v>77</v>
      </c>
      <c r="R23" s="8" t="s">
        <v>166</v>
      </c>
      <c r="S23" s="8" t="s">
        <v>166</v>
      </c>
      <c r="T23" s="8" t="s">
        <v>167</v>
      </c>
      <c r="U23" s="12" t="s">
        <v>77</v>
      </c>
      <c r="V23" s="8" t="s">
        <v>168</v>
      </c>
      <c r="W23" s="8" t="s">
        <v>169</v>
      </c>
      <c r="X23" s="8" t="s">
        <v>170</v>
      </c>
      <c r="Y23" s="12" t="s">
        <v>77</v>
      </c>
      <c r="Z23" s="8" t="s">
        <v>166</v>
      </c>
      <c r="AA23" s="8" t="s">
        <v>166</v>
      </c>
      <c r="AB23" s="8" t="s">
        <v>167</v>
      </c>
      <c r="AC23" s="12" t="s">
        <v>77</v>
      </c>
    </row>
    <row r="24" customFormat="false" ht="57.75" hidden="false" customHeight="true" outlineLevel="0" collapsed="false">
      <c r="A24" s="7" t="s">
        <v>171</v>
      </c>
      <c r="B24" s="9" t="s">
        <v>172</v>
      </c>
      <c r="C24" s="9" t="s">
        <v>173</v>
      </c>
      <c r="D24" s="9" t="s">
        <v>174</v>
      </c>
      <c r="E24" s="9" t="s">
        <v>175</v>
      </c>
      <c r="F24" s="9" t="s">
        <v>176</v>
      </c>
      <c r="G24" s="9" t="s">
        <v>177</v>
      </c>
      <c r="H24" s="9" t="s">
        <v>178</v>
      </c>
      <c r="I24" s="9" t="s">
        <v>179</v>
      </c>
      <c r="J24" s="9" t="s">
        <v>176</v>
      </c>
      <c r="K24" s="9" t="s">
        <v>177</v>
      </c>
      <c r="L24" s="9" t="s">
        <v>180</v>
      </c>
      <c r="M24" s="9" t="s">
        <v>181</v>
      </c>
      <c r="N24" s="9" t="s">
        <v>172</v>
      </c>
      <c r="O24" s="9" t="s">
        <v>182</v>
      </c>
      <c r="P24" s="8" t="s">
        <v>183</v>
      </c>
      <c r="Q24" s="9" t="s">
        <v>184</v>
      </c>
      <c r="R24" s="8" t="s">
        <v>185</v>
      </c>
      <c r="S24" s="9" t="s">
        <v>186</v>
      </c>
      <c r="T24" s="9" t="s">
        <v>187</v>
      </c>
      <c r="U24" s="9" t="s">
        <v>188</v>
      </c>
      <c r="V24" s="11" t="s">
        <v>189</v>
      </c>
      <c r="W24" s="9" t="s">
        <v>182</v>
      </c>
      <c r="X24" s="11" t="s">
        <v>190</v>
      </c>
      <c r="Y24" s="9" t="s">
        <v>179</v>
      </c>
      <c r="Z24" s="9" t="s">
        <v>172</v>
      </c>
      <c r="AA24" s="9" t="s">
        <v>186</v>
      </c>
      <c r="AB24" s="9" t="s">
        <v>187</v>
      </c>
      <c r="AC24" s="9" t="s">
        <v>191</v>
      </c>
    </row>
  </sheetData>
  <mergeCells count="10">
    <mergeCell ref="A1:AD1"/>
    <mergeCell ref="A2:AD2"/>
    <mergeCell ref="A4:A5"/>
    <mergeCell ref="B4:E4"/>
    <mergeCell ref="F4:I4"/>
    <mergeCell ref="J4:M4"/>
    <mergeCell ref="N4:Q4"/>
    <mergeCell ref="R4:U4"/>
    <mergeCell ref="V4:Y4"/>
    <mergeCell ref="Z4:AC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5" min="2" style="0" width="44"/>
  </cols>
  <sheetData>
    <row r="1" customFormat="false" ht="17.35" hidden="false" customHeight="false" outlineLevel="0" collapsed="false">
      <c r="A1" s="1" t="s">
        <v>192</v>
      </c>
      <c r="B1" s="1"/>
      <c r="C1" s="1"/>
      <c r="D1" s="1"/>
      <c r="E1" s="1"/>
    </row>
    <row r="3" customFormat="false" ht="19.5" hidden="false" customHeight="true" outlineLevel="0" collapsed="false">
      <c r="A3" s="13" t="s">
        <v>193</v>
      </c>
      <c r="B3" s="14"/>
      <c r="C3" s="14"/>
      <c r="D3" s="14"/>
      <c r="E3" s="14"/>
    </row>
    <row r="4" customFormat="false" ht="15" hidden="false" customHeight="false" outlineLevel="0" collapsed="false">
      <c r="A4" s="15" t="s">
        <v>2</v>
      </c>
      <c r="B4" s="15" t="s">
        <v>10</v>
      </c>
      <c r="C4" s="15" t="s">
        <v>11</v>
      </c>
      <c r="D4" s="15" t="s">
        <v>12</v>
      </c>
      <c r="E4" s="15" t="s">
        <v>13</v>
      </c>
    </row>
    <row r="5" customFormat="false" ht="45.75" hidden="false" customHeight="true" outlineLevel="0" collapsed="false">
      <c r="A5" s="7" t="s">
        <v>15</v>
      </c>
      <c r="B5" s="8" t="s">
        <v>16</v>
      </c>
      <c r="C5" s="8" t="s">
        <v>17</v>
      </c>
      <c r="D5" s="8" t="s">
        <v>18</v>
      </c>
      <c r="E5" s="8" t="s">
        <v>19</v>
      </c>
    </row>
    <row r="6" customFormat="false" ht="45.75" hidden="false" customHeight="true" outlineLevel="0" collapsed="false">
      <c r="A6" s="7" t="s">
        <v>27</v>
      </c>
      <c r="B6" s="8" t="s">
        <v>28</v>
      </c>
      <c r="C6" s="8" t="s">
        <v>29</v>
      </c>
      <c r="D6" s="8" t="s">
        <v>28</v>
      </c>
      <c r="E6" s="8" t="s">
        <v>28</v>
      </c>
    </row>
    <row r="7" customFormat="false" ht="45.75" hidden="false" customHeight="true" outlineLevel="0" collapsed="false">
      <c r="A7" s="7" t="s">
        <v>37</v>
      </c>
      <c r="B7" s="9" t="s">
        <v>38</v>
      </c>
      <c r="C7" s="8" t="s">
        <v>39</v>
      </c>
      <c r="D7" s="8" t="s">
        <v>40</v>
      </c>
      <c r="E7" s="8" t="s">
        <v>41</v>
      </c>
    </row>
    <row r="8" customFormat="false" ht="45.75" hidden="false" customHeight="true" outlineLevel="0" collapsed="false">
      <c r="A8" s="7" t="s">
        <v>53</v>
      </c>
      <c r="B8" s="9" t="s">
        <v>38</v>
      </c>
      <c r="C8" s="8" t="s">
        <v>54</v>
      </c>
      <c r="D8" s="8" t="s">
        <v>55</v>
      </c>
      <c r="E8" s="8" t="s">
        <v>56</v>
      </c>
    </row>
    <row r="9" customFormat="false" ht="45.75" hidden="false" customHeight="true" outlineLevel="0" collapsed="false">
      <c r="A9" s="7" t="s">
        <v>74</v>
      </c>
      <c r="B9" s="8" t="s">
        <v>75</v>
      </c>
      <c r="C9" s="8" t="s">
        <v>76</v>
      </c>
      <c r="D9" s="8" t="s">
        <v>75</v>
      </c>
      <c r="E9" s="12" t="s">
        <v>77</v>
      </c>
    </row>
    <row r="10" customFormat="false" ht="45.75" hidden="false" customHeight="true" outlineLevel="0" collapsed="false">
      <c r="A10" s="7" t="s">
        <v>94</v>
      </c>
      <c r="B10" s="10" t="s">
        <v>95</v>
      </c>
      <c r="C10" s="10" t="s">
        <v>96</v>
      </c>
      <c r="D10" s="10" t="s">
        <v>97</v>
      </c>
      <c r="E10" s="12" t="s">
        <v>77</v>
      </c>
    </row>
    <row r="11" customFormat="false" ht="45.75" hidden="false" customHeight="true" outlineLevel="0" collapsed="false">
      <c r="A11" s="7" t="s">
        <v>104</v>
      </c>
      <c r="B11" s="8" t="s">
        <v>105</v>
      </c>
      <c r="C11" s="8" t="s">
        <v>106</v>
      </c>
      <c r="D11" s="8" t="s">
        <v>107</v>
      </c>
      <c r="E11" s="12" t="s">
        <v>77</v>
      </c>
    </row>
    <row r="12" customFormat="false" ht="45.75" hidden="false" customHeight="true" outlineLevel="0" collapsed="false">
      <c r="A12" s="7" t="s">
        <v>109</v>
      </c>
      <c r="B12" s="8" t="s">
        <v>110</v>
      </c>
      <c r="C12" s="8" t="s">
        <v>111</v>
      </c>
      <c r="D12" s="12" t="s">
        <v>77</v>
      </c>
      <c r="E12" s="12" t="s">
        <v>77</v>
      </c>
    </row>
    <row r="13" customFormat="false" ht="45.75" hidden="false" customHeight="true" outlineLevel="0" collapsed="false">
      <c r="A13" s="7" t="s">
        <v>124</v>
      </c>
      <c r="B13" s="12" t="s">
        <v>77</v>
      </c>
      <c r="C13" s="8" t="s">
        <v>125</v>
      </c>
      <c r="D13" s="12" t="s">
        <v>77</v>
      </c>
      <c r="E13" s="12" t="s">
        <v>77</v>
      </c>
    </row>
    <row r="14" customFormat="false" ht="45.75" hidden="false" customHeight="true" outlineLevel="0" collapsed="false">
      <c r="A14" s="7" t="s">
        <v>129</v>
      </c>
      <c r="B14" s="12" t="s">
        <v>77</v>
      </c>
      <c r="C14" s="8" t="s">
        <v>130</v>
      </c>
      <c r="D14" s="12" t="s">
        <v>77</v>
      </c>
      <c r="E14" s="12" t="s">
        <v>77</v>
      </c>
    </row>
    <row r="15" customFormat="false" ht="45.75" hidden="false" customHeight="true" outlineLevel="0" collapsed="false">
      <c r="A15" s="7" t="s">
        <v>138</v>
      </c>
      <c r="B15" s="8" t="s">
        <v>139</v>
      </c>
      <c r="C15" s="8" t="s">
        <v>140</v>
      </c>
      <c r="D15" s="8" t="s">
        <v>141</v>
      </c>
      <c r="E15" s="12" t="s">
        <v>77</v>
      </c>
    </row>
    <row r="16" customFormat="false" ht="45.75" hidden="false" customHeight="true" outlineLevel="0" collapsed="false">
      <c r="A16" s="7" t="s">
        <v>143</v>
      </c>
      <c r="B16" s="8" t="s">
        <v>144</v>
      </c>
      <c r="C16" s="9" t="s">
        <v>145</v>
      </c>
      <c r="D16" s="8" t="s">
        <v>146</v>
      </c>
      <c r="E16" s="12" t="s">
        <v>77</v>
      </c>
    </row>
    <row r="17" customFormat="false" ht="45.75" hidden="false" customHeight="true" outlineLevel="0" collapsed="false">
      <c r="A17" s="7" t="s">
        <v>153</v>
      </c>
      <c r="B17" s="8" t="s">
        <v>154</v>
      </c>
      <c r="C17" s="8" t="s">
        <v>155</v>
      </c>
      <c r="D17" s="8" t="s">
        <v>156</v>
      </c>
      <c r="E17" s="9" t="s">
        <v>157</v>
      </c>
    </row>
    <row r="18" customFormat="false" ht="45.75" hidden="false" customHeight="true" outlineLevel="0" collapsed="false">
      <c r="A18" s="7" t="s">
        <v>165</v>
      </c>
      <c r="B18" s="8" t="s">
        <v>166</v>
      </c>
      <c r="C18" s="8" t="s">
        <v>166</v>
      </c>
      <c r="D18" s="8" t="s">
        <v>166</v>
      </c>
      <c r="E18" s="12" t="s">
        <v>77</v>
      </c>
    </row>
    <row r="19" customFormat="false" ht="45.75" hidden="false" customHeight="true" outlineLevel="0" collapsed="false">
      <c r="A19" s="7" t="s">
        <v>171</v>
      </c>
      <c r="B19" s="9" t="s">
        <v>172</v>
      </c>
      <c r="C19" s="9" t="s">
        <v>173</v>
      </c>
      <c r="D19" s="9" t="s">
        <v>174</v>
      </c>
      <c r="E19" s="9" t="s">
        <v>175</v>
      </c>
    </row>
    <row r="21" customFormat="false" ht="19.5" hidden="false" customHeight="true" outlineLevel="0" collapsed="false">
      <c r="A21" s="13" t="s">
        <v>194</v>
      </c>
      <c r="B21" s="14"/>
      <c r="C21" s="14"/>
      <c r="D21" s="14"/>
      <c r="E21" s="14"/>
    </row>
    <row r="22" customFormat="false" ht="15" hidden="false" customHeight="false" outlineLevel="0" collapsed="false">
      <c r="A22" s="15" t="s">
        <v>2</v>
      </c>
      <c r="B22" s="15" t="s">
        <v>10</v>
      </c>
      <c r="C22" s="15" t="s">
        <v>11</v>
      </c>
      <c r="D22" s="15" t="s">
        <v>12</v>
      </c>
      <c r="E22" s="15" t="s">
        <v>13</v>
      </c>
    </row>
    <row r="23" customFormat="false" ht="45.75" hidden="false" customHeight="true" outlineLevel="0" collapsed="false">
      <c r="A23" s="7" t="s">
        <v>15</v>
      </c>
      <c r="B23" s="8" t="s">
        <v>16</v>
      </c>
      <c r="C23" s="8" t="s">
        <v>20</v>
      </c>
      <c r="D23" s="8" t="s">
        <v>21</v>
      </c>
      <c r="E23" s="8" t="s">
        <v>22</v>
      </c>
    </row>
    <row r="24" customFormat="false" ht="45.75" hidden="false" customHeight="true" outlineLevel="0" collapsed="false">
      <c r="A24" s="7" t="s">
        <v>27</v>
      </c>
      <c r="B24" s="8" t="s">
        <v>30</v>
      </c>
      <c r="C24" s="8" t="s">
        <v>31</v>
      </c>
      <c r="D24" s="8" t="s">
        <v>31</v>
      </c>
      <c r="E24" s="8" t="s">
        <v>32</v>
      </c>
    </row>
    <row r="25" customFormat="false" ht="45.75" hidden="false" customHeight="true" outlineLevel="0" collapsed="false">
      <c r="A25" s="7" t="s">
        <v>37</v>
      </c>
      <c r="B25" s="8" t="s">
        <v>42</v>
      </c>
      <c r="C25" s="8" t="s">
        <v>43</v>
      </c>
      <c r="D25" s="8" t="s">
        <v>40</v>
      </c>
      <c r="E25" s="8" t="s">
        <v>44</v>
      </c>
    </row>
    <row r="26" customFormat="false" ht="45.75" hidden="false" customHeight="true" outlineLevel="0" collapsed="false">
      <c r="A26" s="7" t="s">
        <v>53</v>
      </c>
      <c r="B26" s="8" t="s">
        <v>42</v>
      </c>
      <c r="C26" s="8" t="s">
        <v>57</v>
      </c>
      <c r="D26" s="8" t="s">
        <v>58</v>
      </c>
      <c r="E26" s="8" t="s">
        <v>59</v>
      </c>
    </row>
    <row r="27" customFormat="false" ht="45.75" hidden="false" customHeight="true" outlineLevel="0" collapsed="false">
      <c r="A27" s="7" t="s">
        <v>74</v>
      </c>
      <c r="B27" s="8" t="s">
        <v>78</v>
      </c>
      <c r="C27" s="8" t="s">
        <v>79</v>
      </c>
      <c r="D27" s="8" t="s">
        <v>78</v>
      </c>
      <c r="E27" s="12" t="s">
        <v>77</v>
      </c>
    </row>
    <row r="28" customFormat="false" ht="45.75" hidden="false" customHeight="true" outlineLevel="0" collapsed="false">
      <c r="A28" s="7" t="s">
        <v>94</v>
      </c>
      <c r="B28" s="10" t="s">
        <v>98</v>
      </c>
      <c r="C28" s="10" t="s">
        <v>99</v>
      </c>
      <c r="D28" s="10" t="s">
        <v>97</v>
      </c>
      <c r="E28" s="12" t="s">
        <v>77</v>
      </c>
    </row>
    <row r="29" customFormat="false" ht="45.75" hidden="false" customHeight="true" outlineLevel="0" collapsed="false">
      <c r="A29" s="7" t="s">
        <v>104</v>
      </c>
      <c r="B29" s="8" t="s">
        <v>105</v>
      </c>
      <c r="C29" s="8" t="s">
        <v>106</v>
      </c>
      <c r="D29" s="8" t="s">
        <v>107</v>
      </c>
      <c r="E29" s="12" t="s">
        <v>77</v>
      </c>
    </row>
    <row r="30" customFormat="false" ht="45.75" hidden="false" customHeight="true" outlineLevel="0" collapsed="false">
      <c r="A30" s="7" t="s">
        <v>109</v>
      </c>
      <c r="B30" s="8" t="s">
        <v>112</v>
      </c>
      <c r="C30" s="8" t="s">
        <v>113</v>
      </c>
      <c r="D30" s="12" t="s">
        <v>77</v>
      </c>
      <c r="E30" s="12" t="s">
        <v>77</v>
      </c>
    </row>
    <row r="31" customFormat="false" ht="45.75" hidden="false" customHeight="true" outlineLevel="0" collapsed="false">
      <c r="A31" s="7" t="s">
        <v>124</v>
      </c>
      <c r="B31" s="12" t="s">
        <v>77</v>
      </c>
      <c r="C31" s="8" t="s">
        <v>126</v>
      </c>
      <c r="D31" s="12" t="s">
        <v>77</v>
      </c>
      <c r="E31" s="12" t="s">
        <v>77</v>
      </c>
    </row>
    <row r="32" customFormat="false" ht="45.75" hidden="false" customHeight="true" outlineLevel="0" collapsed="false">
      <c r="A32" s="7" t="s">
        <v>129</v>
      </c>
      <c r="B32" s="12" t="s">
        <v>77</v>
      </c>
      <c r="C32" s="8" t="s">
        <v>131</v>
      </c>
      <c r="D32" s="10" t="s">
        <v>132</v>
      </c>
      <c r="E32" s="12" t="s">
        <v>77</v>
      </c>
    </row>
    <row r="33" customFormat="false" ht="45.75" hidden="false" customHeight="true" outlineLevel="0" collapsed="false">
      <c r="A33" s="7" t="s">
        <v>138</v>
      </c>
      <c r="B33" s="8" t="s">
        <v>139</v>
      </c>
      <c r="C33" s="8" t="s">
        <v>140</v>
      </c>
      <c r="D33" s="8" t="s">
        <v>141</v>
      </c>
      <c r="E33" s="12" t="s">
        <v>77</v>
      </c>
    </row>
    <row r="34" customFormat="false" ht="45.75" hidden="false" customHeight="true" outlineLevel="0" collapsed="false">
      <c r="A34" s="7" t="s">
        <v>143</v>
      </c>
      <c r="B34" s="8" t="s">
        <v>45</v>
      </c>
      <c r="C34" s="9" t="s">
        <v>145</v>
      </c>
      <c r="D34" s="8" t="s">
        <v>146</v>
      </c>
      <c r="E34" s="12" t="s">
        <v>77</v>
      </c>
    </row>
    <row r="35" customFormat="false" ht="45.75" hidden="false" customHeight="true" outlineLevel="0" collapsed="false">
      <c r="A35" s="7" t="s">
        <v>153</v>
      </c>
      <c r="B35" s="8" t="s">
        <v>158</v>
      </c>
      <c r="C35" s="8" t="s">
        <v>158</v>
      </c>
      <c r="D35" s="8" t="s">
        <v>159</v>
      </c>
      <c r="E35" s="9" t="s">
        <v>157</v>
      </c>
    </row>
    <row r="36" customFormat="false" ht="45.75" hidden="false" customHeight="true" outlineLevel="0" collapsed="false">
      <c r="A36" s="7" t="s">
        <v>165</v>
      </c>
      <c r="B36" s="8" t="s">
        <v>166</v>
      </c>
      <c r="C36" s="8" t="s">
        <v>166</v>
      </c>
      <c r="D36" s="8" t="s">
        <v>166</v>
      </c>
      <c r="E36" s="12" t="s">
        <v>77</v>
      </c>
    </row>
    <row r="37" customFormat="false" ht="45.75" hidden="false" customHeight="true" outlineLevel="0" collapsed="false">
      <c r="A37" s="7" t="s">
        <v>171</v>
      </c>
      <c r="B37" s="9" t="s">
        <v>176</v>
      </c>
      <c r="C37" s="9" t="s">
        <v>177</v>
      </c>
      <c r="D37" s="9" t="s">
        <v>178</v>
      </c>
      <c r="E37" s="9" t="s">
        <v>179</v>
      </c>
    </row>
    <row r="39" customFormat="false" ht="19.5" hidden="false" customHeight="true" outlineLevel="0" collapsed="false">
      <c r="A39" s="13" t="s">
        <v>195</v>
      </c>
      <c r="B39" s="14"/>
      <c r="C39" s="14"/>
      <c r="D39" s="14"/>
      <c r="E39" s="14"/>
    </row>
    <row r="40" customFormat="false" ht="15" hidden="false" customHeight="false" outlineLevel="0" collapsed="false">
      <c r="A40" s="15" t="s">
        <v>2</v>
      </c>
      <c r="B40" s="15" t="s">
        <v>10</v>
      </c>
      <c r="C40" s="15" t="s">
        <v>11</v>
      </c>
      <c r="D40" s="15" t="s">
        <v>12</v>
      </c>
      <c r="E40" s="15" t="s">
        <v>13</v>
      </c>
    </row>
    <row r="41" customFormat="false" ht="45.75" hidden="false" customHeight="true" outlineLevel="0" collapsed="false">
      <c r="A41" s="7" t="s">
        <v>15</v>
      </c>
      <c r="B41" s="8" t="s">
        <v>16</v>
      </c>
      <c r="C41" s="8" t="s">
        <v>20</v>
      </c>
      <c r="D41" s="8" t="s">
        <v>21</v>
      </c>
      <c r="E41" s="8" t="s">
        <v>23</v>
      </c>
    </row>
    <row r="42" customFormat="false" ht="45.75" hidden="false" customHeight="true" outlineLevel="0" collapsed="false">
      <c r="A42" s="7" t="s">
        <v>27</v>
      </c>
      <c r="B42" s="8" t="s">
        <v>28</v>
      </c>
      <c r="C42" s="8" t="s">
        <v>28</v>
      </c>
      <c r="D42" s="8" t="s">
        <v>28</v>
      </c>
      <c r="E42" s="8" t="s">
        <v>33</v>
      </c>
    </row>
    <row r="43" customFormat="false" ht="45.75" hidden="false" customHeight="true" outlineLevel="0" collapsed="false">
      <c r="A43" s="7" t="s">
        <v>37</v>
      </c>
      <c r="B43" s="8" t="s">
        <v>42</v>
      </c>
      <c r="C43" s="8" t="s">
        <v>40</v>
      </c>
      <c r="D43" s="8" t="s">
        <v>45</v>
      </c>
      <c r="E43" s="9" t="s">
        <v>46</v>
      </c>
    </row>
    <row r="44" customFormat="false" ht="45.75" hidden="false" customHeight="true" outlineLevel="0" collapsed="false">
      <c r="A44" s="7" t="s">
        <v>53</v>
      </c>
      <c r="B44" s="8" t="s">
        <v>42</v>
      </c>
      <c r="C44" s="8" t="s">
        <v>60</v>
      </c>
      <c r="D44" s="8" t="s">
        <v>61</v>
      </c>
      <c r="E44" s="8" t="s">
        <v>62</v>
      </c>
    </row>
    <row r="45" customFormat="false" ht="45.75" hidden="false" customHeight="true" outlineLevel="0" collapsed="false">
      <c r="A45" s="7" t="s">
        <v>74</v>
      </c>
      <c r="B45" s="8" t="s">
        <v>80</v>
      </c>
      <c r="C45" s="8" t="s">
        <v>81</v>
      </c>
      <c r="D45" s="8" t="s">
        <v>82</v>
      </c>
      <c r="E45" s="12" t="s">
        <v>77</v>
      </c>
    </row>
    <row r="46" customFormat="false" ht="45.75" hidden="false" customHeight="true" outlineLevel="0" collapsed="false">
      <c r="A46" s="7" t="s">
        <v>94</v>
      </c>
      <c r="B46" s="10" t="s">
        <v>100</v>
      </c>
      <c r="C46" s="10" t="s">
        <v>99</v>
      </c>
      <c r="D46" s="10" t="s">
        <v>97</v>
      </c>
      <c r="E46" s="12" t="s">
        <v>77</v>
      </c>
    </row>
    <row r="47" customFormat="false" ht="45.75" hidden="false" customHeight="true" outlineLevel="0" collapsed="false">
      <c r="A47" s="7" t="s">
        <v>104</v>
      </c>
      <c r="B47" s="8" t="s">
        <v>105</v>
      </c>
      <c r="C47" s="8" t="s">
        <v>106</v>
      </c>
      <c r="D47" s="8" t="s">
        <v>107</v>
      </c>
      <c r="E47" s="12" t="s">
        <v>77</v>
      </c>
    </row>
    <row r="48" customFormat="false" ht="45.75" hidden="false" customHeight="true" outlineLevel="0" collapsed="false">
      <c r="A48" s="7" t="s">
        <v>109</v>
      </c>
      <c r="B48" s="8" t="s">
        <v>114</v>
      </c>
      <c r="C48" s="8" t="s">
        <v>115</v>
      </c>
      <c r="D48" s="12" t="s">
        <v>77</v>
      </c>
      <c r="E48" s="12" t="s">
        <v>77</v>
      </c>
    </row>
    <row r="49" customFormat="false" ht="45.75" hidden="false" customHeight="true" outlineLevel="0" collapsed="false">
      <c r="A49" s="7" t="s">
        <v>124</v>
      </c>
      <c r="B49" s="12" t="s">
        <v>77</v>
      </c>
      <c r="C49" s="8" t="s">
        <v>127</v>
      </c>
      <c r="D49" s="12" t="s">
        <v>77</v>
      </c>
      <c r="E49" s="12" t="s">
        <v>77</v>
      </c>
    </row>
    <row r="50" customFormat="false" ht="45.75" hidden="false" customHeight="true" outlineLevel="0" collapsed="false">
      <c r="A50" s="7" t="s">
        <v>129</v>
      </c>
      <c r="B50" s="12" t="s">
        <v>77</v>
      </c>
      <c r="C50" s="8" t="s">
        <v>133</v>
      </c>
      <c r="D50" s="12" t="s">
        <v>77</v>
      </c>
      <c r="E50" s="12" t="s">
        <v>77</v>
      </c>
    </row>
    <row r="51" customFormat="false" ht="45.75" hidden="false" customHeight="true" outlineLevel="0" collapsed="false">
      <c r="A51" s="7" t="s">
        <v>138</v>
      </c>
      <c r="B51" s="8" t="s">
        <v>139</v>
      </c>
      <c r="C51" s="8" t="s">
        <v>142</v>
      </c>
      <c r="D51" s="8" t="s">
        <v>141</v>
      </c>
      <c r="E51" s="12" t="s">
        <v>77</v>
      </c>
    </row>
    <row r="52" customFormat="false" ht="45.75" hidden="false" customHeight="true" outlineLevel="0" collapsed="false">
      <c r="A52" s="7" t="s">
        <v>143</v>
      </c>
      <c r="B52" s="8" t="s">
        <v>147</v>
      </c>
      <c r="C52" s="9" t="s">
        <v>145</v>
      </c>
      <c r="D52" s="8" t="s">
        <v>148</v>
      </c>
      <c r="E52" s="12" t="s">
        <v>77</v>
      </c>
    </row>
    <row r="53" customFormat="false" ht="45.75" hidden="false" customHeight="true" outlineLevel="0" collapsed="false">
      <c r="A53" s="7" t="s">
        <v>153</v>
      </c>
      <c r="B53" s="8" t="s">
        <v>158</v>
      </c>
      <c r="C53" s="8" t="s">
        <v>160</v>
      </c>
      <c r="D53" s="8" t="s">
        <v>161</v>
      </c>
      <c r="E53" s="9" t="s">
        <v>157</v>
      </c>
    </row>
    <row r="54" customFormat="false" ht="45.75" hidden="false" customHeight="true" outlineLevel="0" collapsed="false">
      <c r="A54" s="7" t="s">
        <v>165</v>
      </c>
      <c r="B54" s="8" t="s">
        <v>166</v>
      </c>
      <c r="C54" s="8" t="s">
        <v>166</v>
      </c>
      <c r="D54" s="8" t="s">
        <v>166</v>
      </c>
      <c r="E54" s="12" t="s">
        <v>77</v>
      </c>
    </row>
    <row r="55" customFormat="false" ht="45.75" hidden="false" customHeight="true" outlineLevel="0" collapsed="false">
      <c r="A55" s="7" t="s">
        <v>171</v>
      </c>
      <c r="B55" s="9" t="s">
        <v>176</v>
      </c>
      <c r="C55" s="9" t="s">
        <v>177</v>
      </c>
      <c r="D55" s="9" t="s">
        <v>180</v>
      </c>
      <c r="E55" s="9" t="s">
        <v>181</v>
      </c>
    </row>
    <row r="57" customFormat="false" ht="19.5" hidden="false" customHeight="true" outlineLevel="0" collapsed="false">
      <c r="A57" s="13" t="s">
        <v>196</v>
      </c>
      <c r="B57" s="14"/>
      <c r="C57" s="14"/>
      <c r="D57" s="14"/>
      <c r="E57" s="14"/>
    </row>
    <row r="58" customFormat="false" ht="15" hidden="false" customHeight="false" outlineLevel="0" collapsed="false">
      <c r="A58" s="15" t="s">
        <v>2</v>
      </c>
      <c r="B58" s="15" t="s">
        <v>10</v>
      </c>
      <c r="C58" s="15" t="s">
        <v>11</v>
      </c>
      <c r="D58" s="15" t="s">
        <v>12</v>
      </c>
      <c r="E58" s="15" t="s">
        <v>13</v>
      </c>
    </row>
    <row r="59" customFormat="false" ht="45.75" hidden="false" customHeight="true" outlineLevel="0" collapsed="false">
      <c r="A59" s="7" t="s">
        <v>15</v>
      </c>
      <c r="B59" s="8" t="s">
        <v>16</v>
      </c>
      <c r="C59" s="8" t="s">
        <v>17</v>
      </c>
      <c r="D59" s="8" t="s">
        <v>18</v>
      </c>
      <c r="E59" s="8" t="s">
        <v>19</v>
      </c>
    </row>
    <row r="60" customFormat="false" ht="45.75" hidden="false" customHeight="true" outlineLevel="0" collapsed="false">
      <c r="A60" s="7" t="s">
        <v>27</v>
      </c>
      <c r="B60" s="8" t="s">
        <v>28</v>
      </c>
      <c r="C60" s="8" t="s">
        <v>28</v>
      </c>
      <c r="D60" s="8" t="s">
        <v>28</v>
      </c>
      <c r="E60" s="8" t="s">
        <v>28</v>
      </c>
    </row>
    <row r="61" customFormat="false" ht="45.75" hidden="false" customHeight="true" outlineLevel="0" collapsed="false">
      <c r="A61" s="7" t="s">
        <v>37</v>
      </c>
      <c r="B61" s="9" t="s">
        <v>38</v>
      </c>
      <c r="C61" s="8" t="s">
        <v>39</v>
      </c>
      <c r="D61" s="8" t="s">
        <v>45</v>
      </c>
      <c r="E61" s="9" t="s">
        <v>47</v>
      </c>
    </row>
    <row r="62" customFormat="false" ht="45.75" hidden="false" customHeight="true" outlineLevel="0" collapsed="false">
      <c r="A62" s="7" t="s">
        <v>53</v>
      </c>
      <c r="B62" s="9" t="s">
        <v>38</v>
      </c>
      <c r="C62" s="8" t="s">
        <v>63</v>
      </c>
      <c r="D62" s="8" t="s">
        <v>64</v>
      </c>
      <c r="E62" s="8" t="s">
        <v>62</v>
      </c>
    </row>
    <row r="63" customFormat="false" ht="45.75" hidden="false" customHeight="true" outlineLevel="0" collapsed="false">
      <c r="A63" s="7" t="s">
        <v>74</v>
      </c>
      <c r="B63" s="8" t="s">
        <v>83</v>
      </c>
      <c r="C63" s="8" t="s">
        <v>84</v>
      </c>
      <c r="D63" s="8" t="s">
        <v>85</v>
      </c>
      <c r="E63" s="12" t="s">
        <v>77</v>
      </c>
    </row>
    <row r="64" customFormat="false" ht="45.75" hidden="false" customHeight="true" outlineLevel="0" collapsed="false">
      <c r="A64" s="7" t="s">
        <v>94</v>
      </c>
      <c r="B64" s="10" t="s">
        <v>95</v>
      </c>
      <c r="C64" s="10" t="s">
        <v>96</v>
      </c>
      <c r="D64" s="10" t="s">
        <v>97</v>
      </c>
      <c r="E64" s="12" t="s">
        <v>77</v>
      </c>
    </row>
    <row r="65" customFormat="false" ht="45.75" hidden="false" customHeight="true" outlineLevel="0" collapsed="false">
      <c r="A65" s="7" t="s">
        <v>104</v>
      </c>
      <c r="B65" s="8" t="s">
        <v>105</v>
      </c>
      <c r="C65" s="8" t="s">
        <v>106</v>
      </c>
      <c r="D65" s="8" t="s">
        <v>107</v>
      </c>
      <c r="E65" s="12" t="s">
        <v>77</v>
      </c>
    </row>
    <row r="66" customFormat="false" ht="45.75" hidden="false" customHeight="true" outlineLevel="0" collapsed="false">
      <c r="A66" s="7" t="s">
        <v>109</v>
      </c>
      <c r="B66" s="8" t="s">
        <v>116</v>
      </c>
      <c r="C66" s="8" t="s">
        <v>117</v>
      </c>
      <c r="D66" s="12" t="s">
        <v>77</v>
      </c>
      <c r="E66" s="12" t="s">
        <v>77</v>
      </c>
    </row>
    <row r="67" customFormat="false" ht="45.75" hidden="false" customHeight="true" outlineLevel="0" collapsed="false">
      <c r="A67" s="7" t="s">
        <v>124</v>
      </c>
      <c r="B67" s="12" t="s">
        <v>77</v>
      </c>
      <c r="C67" s="8" t="s">
        <v>128</v>
      </c>
      <c r="D67" s="12" t="s">
        <v>77</v>
      </c>
      <c r="E67" s="12" t="s">
        <v>77</v>
      </c>
    </row>
    <row r="68" customFormat="false" ht="45.75" hidden="false" customHeight="true" outlineLevel="0" collapsed="false">
      <c r="A68" s="7" t="s">
        <v>129</v>
      </c>
      <c r="B68" s="12" t="s">
        <v>77</v>
      </c>
      <c r="C68" s="8" t="s">
        <v>134</v>
      </c>
      <c r="D68" s="12" t="s">
        <v>77</v>
      </c>
      <c r="E68" s="12" t="s">
        <v>77</v>
      </c>
    </row>
    <row r="69" customFormat="false" ht="45.75" hidden="false" customHeight="true" outlineLevel="0" collapsed="false">
      <c r="A69" s="7" t="s">
        <v>138</v>
      </c>
      <c r="B69" s="8" t="s">
        <v>139</v>
      </c>
      <c r="C69" s="8" t="s">
        <v>140</v>
      </c>
      <c r="D69" s="8" t="s">
        <v>141</v>
      </c>
      <c r="E69" s="12" t="s">
        <v>77</v>
      </c>
    </row>
    <row r="70" customFormat="false" ht="45.75" hidden="false" customHeight="true" outlineLevel="0" collapsed="false">
      <c r="A70" s="7" t="s">
        <v>143</v>
      </c>
      <c r="B70" s="8" t="s">
        <v>149</v>
      </c>
      <c r="C70" s="9" t="s">
        <v>145</v>
      </c>
      <c r="D70" s="8" t="s">
        <v>146</v>
      </c>
      <c r="E70" s="12" t="s">
        <v>77</v>
      </c>
    </row>
    <row r="71" customFormat="false" ht="45.75" hidden="false" customHeight="true" outlineLevel="0" collapsed="false">
      <c r="A71" s="7" t="s">
        <v>153</v>
      </c>
      <c r="B71" s="8" t="s">
        <v>154</v>
      </c>
      <c r="C71" s="8" t="s">
        <v>162</v>
      </c>
      <c r="D71" s="8" t="s">
        <v>156</v>
      </c>
      <c r="E71" s="9" t="s">
        <v>157</v>
      </c>
    </row>
    <row r="72" customFormat="false" ht="45.75" hidden="false" customHeight="true" outlineLevel="0" collapsed="false">
      <c r="A72" s="7" t="s">
        <v>165</v>
      </c>
      <c r="B72" s="8" t="s">
        <v>166</v>
      </c>
      <c r="C72" s="8" t="s">
        <v>166</v>
      </c>
      <c r="D72" s="8" t="s">
        <v>166</v>
      </c>
      <c r="E72" s="12" t="s">
        <v>77</v>
      </c>
    </row>
    <row r="73" customFormat="false" ht="45.75" hidden="false" customHeight="true" outlineLevel="0" collapsed="false">
      <c r="A73" s="7" t="s">
        <v>171</v>
      </c>
      <c r="B73" s="9" t="s">
        <v>172</v>
      </c>
      <c r="C73" s="9" t="s">
        <v>182</v>
      </c>
      <c r="D73" s="8" t="s">
        <v>183</v>
      </c>
      <c r="E73" s="9" t="s">
        <v>184</v>
      </c>
    </row>
    <row r="75" customFormat="false" ht="19.5" hidden="false" customHeight="true" outlineLevel="0" collapsed="false">
      <c r="A75" s="13" t="s">
        <v>197</v>
      </c>
      <c r="B75" s="14"/>
      <c r="C75" s="14"/>
      <c r="D75" s="14"/>
      <c r="E75" s="14"/>
    </row>
    <row r="76" customFormat="false" ht="15" hidden="false" customHeight="false" outlineLevel="0" collapsed="false">
      <c r="A76" s="15" t="s">
        <v>2</v>
      </c>
      <c r="B76" s="15" t="s">
        <v>10</v>
      </c>
      <c r="C76" s="15" t="s">
        <v>11</v>
      </c>
      <c r="D76" s="15" t="s">
        <v>12</v>
      </c>
      <c r="E76" s="15" t="s">
        <v>13</v>
      </c>
    </row>
    <row r="77" customFormat="false" ht="45.75" hidden="false" customHeight="true" outlineLevel="0" collapsed="false">
      <c r="A77" s="7" t="s">
        <v>15</v>
      </c>
      <c r="B77" s="8" t="s">
        <v>24</v>
      </c>
      <c r="C77" s="8" t="s">
        <v>20</v>
      </c>
      <c r="D77" s="8" t="s">
        <v>21</v>
      </c>
      <c r="E77" s="8" t="s">
        <v>25</v>
      </c>
    </row>
    <row r="78" customFormat="false" ht="45.75" hidden="false" customHeight="true" outlineLevel="0" collapsed="false">
      <c r="A78" s="7" t="s">
        <v>27</v>
      </c>
      <c r="B78" s="8" t="s">
        <v>30</v>
      </c>
      <c r="C78" s="8" t="s">
        <v>34</v>
      </c>
      <c r="D78" s="8" t="s">
        <v>31</v>
      </c>
      <c r="E78" s="8" t="s">
        <v>35</v>
      </c>
    </row>
    <row r="79" customFormat="false" ht="45.75" hidden="false" customHeight="true" outlineLevel="0" collapsed="false">
      <c r="A79" s="7" t="s">
        <v>37</v>
      </c>
      <c r="B79" s="9" t="s">
        <v>38</v>
      </c>
      <c r="C79" s="9" t="s">
        <v>38</v>
      </c>
      <c r="D79" s="9" t="s">
        <v>38</v>
      </c>
      <c r="E79" s="8" t="s">
        <v>48</v>
      </c>
    </row>
    <row r="80" customFormat="false" ht="45.75" hidden="false" customHeight="true" outlineLevel="0" collapsed="false">
      <c r="A80" s="7" t="s">
        <v>53</v>
      </c>
      <c r="B80" s="9" t="s">
        <v>38</v>
      </c>
      <c r="C80" s="9" t="s">
        <v>65</v>
      </c>
      <c r="D80" s="9" t="s">
        <v>66</v>
      </c>
      <c r="E80" s="8" t="s">
        <v>67</v>
      </c>
    </row>
    <row r="81" customFormat="false" ht="45.75" hidden="false" customHeight="true" outlineLevel="0" collapsed="false">
      <c r="A81" s="7" t="s">
        <v>74</v>
      </c>
      <c r="B81" s="8" t="s">
        <v>86</v>
      </c>
      <c r="C81" s="8" t="s">
        <v>87</v>
      </c>
      <c r="D81" s="8" t="s">
        <v>88</v>
      </c>
      <c r="E81" s="12" t="s">
        <v>77</v>
      </c>
    </row>
    <row r="82" customFormat="false" ht="45.75" hidden="false" customHeight="true" outlineLevel="0" collapsed="false">
      <c r="A82" s="7" t="s">
        <v>94</v>
      </c>
      <c r="B82" s="8" t="s">
        <v>101</v>
      </c>
      <c r="C82" s="10" t="s">
        <v>96</v>
      </c>
      <c r="D82" s="10" t="s">
        <v>97</v>
      </c>
      <c r="E82" s="12" t="s">
        <v>77</v>
      </c>
    </row>
    <row r="83" customFormat="false" ht="45.75" hidden="false" customHeight="true" outlineLevel="0" collapsed="false">
      <c r="A83" s="7" t="s">
        <v>104</v>
      </c>
      <c r="B83" s="8" t="s">
        <v>105</v>
      </c>
      <c r="C83" s="8" t="s">
        <v>106</v>
      </c>
      <c r="D83" s="8" t="s">
        <v>107</v>
      </c>
      <c r="E83" s="12" t="s">
        <v>77</v>
      </c>
    </row>
    <row r="84" customFormat="false" ht="45.75" hidden="false" customHeight="true" outlineLevel="0" collapsed="false">
      <c r="A84" s="7" t="s">
        <v>109</v>
      </c>
      <c r="B84" s="8" t="s">
        <v>118</v>
      </c>
      <c r="C84" s="8" t="s">
        <v>119</v>
      </c>
      <c r="D84" s="12" t="s">
        <v>77</v>
      </c>
      <c r="E84" s="12" t="s">
        <v>77</v>
      </c>
    </row>
    <row r="85" customFormat="false" ht="45.75" hidden="false" customHeight="true" outlineLevel="0" collapsed="false">
      <c r="A85" s="7" t="s">
        <v>124</v>
      </c>
      <c r="B85" s="12" t="s">
        <v>77</v>
      </c>
      <c r="C85" s="8" t="s">
        <v>125</v>
      </c>
      <c r="D85" s="12" t="s">
        <v>77</v>
      </c>
      <c r="E85" s="12" t="s">
        <v>77</v>
      </c>
    </row>
    <row r="86" customFormat="false" ht="45.75" hidden="false" customHeight="true" outlineLevel="0" collapsed="false">
      <c r="A86" s="7" t="s">
        <v>129</v>
      </c>
      <c r="B86" s="12" t="s">
        <v>77</v>
      </c>
      <c r="C86" s="8" t="s">
        <v>135</v>
      </c>
      <c r="D86" s="10" t="s">
        <v>132</v>
      </c>
      <c r="E86" s="12" t="s">
        <v>77</v>
      </c>
    </row>
    <row r="87" customFormat="false" ht="45.75" hidden="false" customHeight="true" outlineLevel="0" collapsed="false">
      <c r="A87" s="7" t="s">
        <v>138</v>
      </c>
      <c r="B87" s="8" t="s">
        <v>139</v>
      </c>
      <c r="C87" s="8" t="s">
        <v>142</v>
      </c>
      <c r="D87" s="8" t="s">
        <v>141</v>
      </c>
      <c r="E87" s="12" t="s">
        <v>77</v>
      </c>
    </row>
    <row r="88" customFormat="false" ht="45.75" hidden="false" customHeight="true" outlineLevel="0" collapsed="false">
      <c r="A88" s="7" t="s">
        <v>143</v>
      </c>
      <c r="B88" s="8" t="s">
        <v>150</v>
      </c>
      <c r="C88" s="9" t="s">
        <v>145</v>
      </c>
      <c r="D88" s="8" t="s">
        <v>146</v>
      </c>
      <c r="E88" s="12" t="s">
        <v>77</v>
      </c>
    </row>
    <row r="89" customFormat="false" ht="45.75" hidden="false" customHeight="true" outlineLevel="0" collapsed="false">
      <c r="A89" s="7" t="s">
        <v>153</v>
      </c>
      <c r="B89" s="8" t="s">
        <v>154</v>
      </c>
      <c r="C89" s="9" t="s">
        <v>163</v>
      </c>
      <c r="D89" s="8" t="s">
        <v>154</v>
      </c>
      <c r="E89" s="9" t="s">
        <v>157</v>
      </c>
    </row>
    <row r="90" customFormat="false" ht="45.75" hidden="false" customHeight="true" outlineLevel="0" collapsed="false">
      <c r="A90" s="7" t="s">
        <v>165</v>
      </c>
      <c r="B90" s="8" t="s">
        <v>166</v>
      </c>
      <c r="C90" s="8" t="s">
        <v>166</v>
      </c>
      <c r="D90" s="8" t="s">
        <v>167</v>
      </c>
      <c r="E90" s="12" t="s">
        <v>77</v>
      </c>
    </row>
    <row r="91" customFormat="false" ht="45.75" hidden="false" customHeight="true" outlineLevel="0" collapsed="false">
      <c r="A91" s="7" t="s">
        <v>171</v>
      </c>
      <c r="B91" s="8" t="s">
        <v>185</v>
      </c>
      <c r="C91" s="9" t="s">
        <v>186</v>
      </c>
      <c r="D91" s="9" t="s">
        <v>187</v>
      </c>
      <c r="E91" s="9" t="s">
        <v>188</v>
      </c>
    </row>
    <row r="93" customFormat="false" ht="19.5" hidden="false" customHeight="true" outlineLevel="0" collapsed="false">
      <c r="A93" s="13" t="s">
        <v>198</v>
      </c>
      <c r="B93" s="14"/>
      <c r="C93" s="14"/>
      <c r="D93" s="14"/>
      <c r="E93" s="14"/>
    </row>
    <row r="94" customFormat="false" ht="15" hidden="false" customHeight="false" outlineLevel="0" collapsed="false">
      <c r="A94" s="15" t="s">
        <v>2</v>
      </c>
      <c r="B94" s="15" t="s">
        <v>10</v>
      </c>
      <c r="C94" s="15" t="s">
        <v>11</v>
      </c>
      <c r="D94" s="15" t="s">
        <v>12</v>
      </c>
      <c r="E94" s="15" t="s">
        <v>13</v>
      </c>
    </row>
    <row r="95" customFormat="false" ht="45.75" hidden="false" customHeight="true" outlineLevel="0" collapsed="false">
      <c r="A95" s="7" t="s">
        <v>15</v>
      </c>
      <c r="B95" s="8" t="s">
        <v>16</v>
      </c>
      <c r="C95" s="8" t="s">
        <v>20</v>
      </c>
      <c r="D95" s="8" t="s">
        <v>21</v>
      </c>
      <c r="E95" s="8" t="s">
        <v>23</v>
      </c>
    </row>
    <row r="96" customFormat="false" ht="45.75" hidden="false" customHeight="true" outlineLevel="0" collapsed="false">
      <c r="A96" s="7" t="s">
        <v>27</v>
      </c>
      <c r="B96" s="8" t="s">
        <v>28</v>
      </c>
      <c r="C96" s="8" t="s">
        <v>36</v>
      </c>
      <c r="D96" s="8" t="s">
        <v>31</v>
      </c>
      <c r="E96" s="8" t="s">
        <v>28</v>
      </c>
    </row>
    <row r="97" customFormat="false" ht="45.75" hidden="false" customHeight="true" outlineLevel="0" collapsed="false">
      <c r="A97" s="7" t="s">
        <v>37</v>
      </c>
      <c r="B97" s="8" t="s">
        <v>49</v>
      </c>
      <c r="C97" s="8" t="s">
        <v>40</v>
      </c>
      <c r="D97" s="8" t="s">
        <v>45</v>
      </c>
      <c r="E97" s="8" t="s">
        <v>50</v>
      </c>
    </row>
    <row r="98" customFormat="false" ht="45.75" hidden="false" customHeight="true" outlineLevel="0" collapsed="false">
      <c r="A98" s="7" t="s">
        <v>53</v>
      </c>
      <c r="B98" s="8" t="s">
        <v>49</v>
      </c>
      <c r="C98" s="8" t="s">
        <v>68</v>
      </c>
      <c r="D98" s="8" t="s">
        <v>69</v>
      </c>
      <c r="E98" s="8" t="s">
        <v>70</v>
      </c>
    </row>
    <row r="99" customFormat="false" ht="45.75" hidden="false" customHeight="true" outlineLevel="0" collapsed="false">
      <c r="A99" s="7" t="s">
        <v>74</v>
      </c>
      <c r="B99" s="8" t="s">
        <v>89</v>
      </c>
      <c r="C99" s="8" t="s">
        <v>90</v>
      </c>
      <c r="D99" s="8" t="s">
        <v>91</v>
      </c>
      <c r="E99" s="12" t="s">
        <v>77</v>
      </c>
    </row>
    <row r="100" customFormat="false" ht="45.75" hidden="false" customHeight="true" outlineLevel="0" collapsed="false">
      <c r="A100" s="7" t="s">
        <v>94</v>
      </c>
      <c r="B100" s="10" t="s">
        <v>95</v>
      </c>
      <c r="C100" s="10" t="s">
        <v>96</v>
      </c>
      <c r="D100" s="10" t="s">
        <v>102</v>
      </c>
      <c r="E100" s="12" t="s">
        <v>77</v>
      </c>
    </row>
    <row r="101" customFormat="false" ht="45.75" hidden="false" customHeight="true" outlineLevel="0" collapsed="false">
      <c r="A101" s="7" t="s">
        <v>104</v>
      </c>
      <c r="B101" s="8" t="s">
        <v>105</v>
      </c>
      <c r="C101" s="8" t="s">
        <v>106</v>
      </c>
      <c r="D101" s="8" t="s">
        <v>107</v>
      </c>
      <c r="E101" s="12" t="s">
        <v>77</v>
      </c>
    </row>
    <row r="102" customFormat="false" ht="45.75" hidden="false" customHeight="true" outlineLevel="0" collapsed="false">
      <c r="A102" s="7" t="s">
        <v>109</v>
      </c>
      <c r="B102" s="8" t="s">
        <v>120</v>
      </c>
      <c r="C102" s="8" t="s">
        <v>121</v>
      </c>
      <c r="D102" s="12" t="s">
        <v>77</v>
      </c>
      <c r="E102" s="12" t="s">
        <v>77</v>
      </c>
    </row>
    <row r="103" customFormat="false" ht="45.75" hidden="false" customHeight="true" outlineLevel="0" collapsed="false">
      <c r="A103" s="7" t="s">
        <v>124</v>
      </c>
      <c r="B103" s="12" t="s">
        <v>77</v>
      </c>
      <c r="C103" s="8" t="s">
        <v>126</v>
      </c>
      <c r="D103" s="12" t="s">
        <v>77</v>
      </c>
      <c r="E103" s="12" t="s">
        <v>77</v>
      </c>
    </row>
    <row r="104" customFormat="false" ht="45.75" hidden="false" customHeight="true" outlineLevel="0" collapsed="false">
      <c r="A104" s="7" t="s">
        <v>129</v>
      </c>
      <c r="B104" s="12" t="s">
        <v>77</v>
      </c>
      <c r="C104" s="8" t="s">
        <v>136</v>
      </c>
      <c r="D104" s="12" t="s">
        <v>77</v>
      </c>
      <c r="E104" s="12" t="s">
        <v>77</v>
      </c>
    </row>
    <row r="105" customFormat="false" ht="45.75" hidden="false" customHeight="true" outlineLevel="0" collapsed="false">
      <c r="A105" s="7" t="s">
        <v>138</v>
      </c>
      <c r="B105" s="8" t="s">
        <v>139</v>
      </c>
      <c r="C105" s="8" t="s">
        <v>142</v>
      </c>
      <c r="D105" s="8" t="s">
        <v>141</v>
      </c>
      <c r="E105" s="12" t="s">
        <v>77</v>
      </c>
    </row>
    <row r="106" customFormat="false" ht="45.75" hidden="false" customHeight="true" outlineLevel="0" collapsed="false">
      <c r="A106" s="7" t="s">
        <v>143</v>
      </c>
      <c r="B106" s="8" t="s">
        <v>151</v>
      </c>
      <c r="C106" s="9" t="s">
        <v>145</v>
      </c>
      <c r="D106" s="8" t="s">
        <v>148</v>
      </c>
      <c r="E106" s="12" t="s">
        <v>77</v>
      </c>
    </row>
    <row r="107" customFormat="false" ht="45.75" hidden="false" customHeight="true" outlineLevel="0" collapsed="false">
      <c r="A107" s="7" t="s">
        <v>153</v>
      </c>
      <c r="B107" s="8" t="s">
        <v>158</v>
      </c>
      <c r="C107" s="8" t="s">
        <v>164</v>
      </c>
      <c r="D107" s="8" t="s">
        <v>158</v>
      </c>
      <c r="E107" s="9" t="s">
        <v>157</v>
      </c>
    </row>
    <row r="108" customFormat="false" ht="45.75" hidden="false" customHeight="true" outlineLevel="0" collapsed="false">
      <c r="A108" s="7" t="s">
        <v>165</v>
      </c>
      <c r="B108" s="8" t="s">
        <v>168</v>
      </c>
      <c r="C108" s="8" t="s">
        <v>169</v>
      </c>
      <c r="D108" s="8" t="s">
        <v>170</v>
      </c>
      <c r="E108" s="12" t="s">
        <v>77</v>
      </c>
    </row>
    <row r="109" customFormat="false" ht="45.75" hidden="false" customHeight="true" outlineLevel="0" collapsed="false">
      <c r="A109" s="7" t="s">
        <v>171</v>
      </c>
      <c r="B109" s="8" t="s">
        <v>189</v>
      </c>
      <c r="C109" s="9" t="s">
        <v>182</v>
      </c>
      <c r="D109" s="8" t="s">
        <v>190</v>
      </c>
      <c r="E109" s="9" t="s">
        <v>179</v>
      </c>
    </row>
    <row r="111" customFormat="false" ht="19.5" hidden="false" customHeight="true" outlineLevel="0" collapsed="false">
      <c r="A111" s="13" t="s">
        <v>199</v>
      </c>
      <c r="B111" s="14"/>
      <c r="C111" s="14"/>
      <c r="D111" s="14"/>
      <c r="E111" s="14"/>
    </row>
    <row r="112" customFormat="false" ht="15" hidden="false" customHeight="false" outlineLevel="0" collapsed="false">
      <c r="A112" s="15" t="s">
        <v>2</v>
      </c>
      <c r="B112" s="15" t="s">
        <v>10</v>
      </c>
      <c r="C112" s="15" t="s">
        <v>11</v>
      </c>
      <c r="D112" s="15" t="s">
        <v>12</v>
      </c>
      <c r="E112" s="15" t="s">
        <v>13</v>
      </c>
    </row>
    <row r="113" customFormat="false" ht="45.75" hidden="false" customHeight="true" outlineLevel="0" collapsed="false">
      <c r="A113" s="7" t="s">
        <v>15</v>
      </c>
      <c r="B113" s="8" t="s">
        <v>24</v>
      </c>
      <c r="C113" s="8" t="s">
        <v>20</v>
      </c>
      <c r="D113" s="8" t="s">
        <v>21</v>
      </c>
      <c r="E113" s="8" t="s">
        <v>26</v>
      </c>
    </row>
    <row r="114" customFormat="false" ht="45.75" hidden="false" customHeight="true" outlineLevel="0" collapsed="false">
      <c r="A114" s="7" t="s">
        <v>27</v>
      </c>
      <c r="B114" s="8" t="s">
        <v>28</v>
      </c>
      <c r="C114" s="8" t="s">
        <v>36</v>
      </c>
      <c r="D114" s="8" t="s">
        <v>31</v>
      </c>
      <c r="E114" s="8" t="s">
        <v>28</v>
      </c>
    </row>
    <row r="115" customFormat="false" ht="45.75" hidden="false" customHeight="true" outlineLevel="0" collapsed="false">
      <c r="A115" s="7" t="s">
        <v>37</v>
      </c>
      <c r="B115" s="9" t="s">
        <v>38</v>
      </c>
      <c r="C115" s="8" t="s">
        <v>51</v>
      </c>
      <c r="D115" s="9" t="s">
        <v>38</v>
      </c>
      <c r="E115" s="9" t="s">
        <v>52</v>
      </c>
    </row>
    <row r="116" customFormat="false" ht="45.75" hidden="false" customHeight="true" outlineLevel="0" collapsed="false">
      <c r="A116" s="7" t="s">
        <v>53</v>
      </c>
      <c r="B116" s="9" t="s">
        <v>38</v>
      </c>
      <c r="C116" s="9" t="s">
        <v>71</v>
      </c>
      <c r="D116" s="9" t="s">
        <v>66</v>
      </c>
      <c r="E116" s="8" t="s">
        <v>72</v>
      </c>
    </row>
    <row r="117" customFormat="false" ht="45.75" hidden="false" customHeight="true" outlineLevel="0" collapsed="false">
      <c r="A117" s="7" t="s">
        <v>74</v>
      </c>
      <c r="B117" s="8" t="s">
        <v>92</v>
      </c>
      <c r="C117" s="8" t="s">
        <v>93</v>
      </c>
      <c r="D117" s="8" t="s">
        <v>88</v>
      </c>
      <c r="E117" s="12" t="s">
        <v>77</v>
      </c>
    </row>
    <row r="118" customFormat="false" ht="45.75" hidden="false" customHeight="true" outlineLevel="0" collapsed="false">
      <c r="A118" s="7" t="s">
        <v>94</v>
      </c>
      <c r="B118" s="8" t="s">
        <v>103</v>
      </c>
      <c r="C118" s="10" t="s">
        <v>96</v>
      </c>
      <c r="D118" s="10" t="s">
        <v>97</v>
      </c>
      <c r="E118" s="12" t="s">
        <v>77</v>
      </c>
    </row>
    <row r="119" customFormat="false" ht="45.75" hidden="false" customHeight="true" outlineLevel="0" collapsed="false">
      <c r="A119" s="7" t="s">
        <v>104</v>
      </c>
      <c r="B119" s="8" t="s">
        <v>105</v>
      </c>
      <c r="C119" s="8" t="s">
        <v>106</v>
      </c>
      <c r="D119" s="8" t="s">
        <v>107</v>
      </c>
      <c r="E119" s="12" t="s">
        <v>77</v>
      </c>
    </row>
    <row r="120" customFormat="false" ht="45.75" hidden="false" customHeight="true" outlineLevel="0" collapsed="false">
      <c r="A120" s="7" t="s">
        <v>109</v>
      </c>
      <c r="B120" s="8" t="s">
        <v>122</v>
      </c>
      <c r="C120" s="8" t="s">
        <v>123</v>
      </c>
      <c r="D120" s="12" t="s">
        <v>77</v>
      </c>
      <c r="E120" s="12" t="s">
        <v>77</v>
      </c>
    </row>
    <row r="121" customFormat="false" ht="45.75" hidden="false" customHeight="true" outlineLevel="0" collapsed="false">
      <c r="A121" s="7" t="s">
        <v>124</v>
      </c>
      <c r="B121" s="12" t="s">
        <v>77</v>
      </c>
      <c r="C121" s="8" t="s">
        <v>126</v>
      </c>
      <c r="D121" s="12" t="s">
        <v>77</v>
      </c>
      <c r="E121" s="12" t="s">
        <v>77</v>
      </c>
    </row>
    <row r="122" customFormat="false" ht="45.75" hidden="false" customHeight="true" outlineLevel="0" collapsed="false">
      <c r="A122" s="7" t="s">
        <v>129</v>
      </c>
      <c r="B122" s="12" t="s">
        <v>77</v>
      </c>
      <c r="C122" s="8" t="s">
        <v>137</v>
      </c>
      <c r="D122" s="12" t="s">
        <v>77</v>
      </c>
      <c r="E122" s="12" t="s">
        <v>77</v>
      </c>
    </row>
    <row r="123" customFormat="false" ht="45.75" hidden="false" customHeight="true" outlineLevel="0" collapsed="false">
      <c r="A123" s="7" t="s">
        <v>138</v>
      </c>
      <c r="B123" s="8" t="s">
        <v>139</v>
      </c>
      <c r="C123" s="8" t="s">
        <v>142</v>
      </c>
      <c r="D123" s="8" t="s">
        <v>141</v>
      </c>
      <c r="E123" s="12" t="s">
        <v>77</v>
      </c>
    </row>
    <row r="124" customFormat="false" ht="45.75" hidden="false" customHeight="true" outlineLevel="0" collapsed="false">
      <c r="A124" s="7" t="s">
        <v>143</v>
      </c>
      <c r="B124" s="8" t="s">
        <v>151</v>
      </c>
      <c r="C124" s="9" t="s">
        <v>145</v>
      </c>
      <c r="D124" s="8" t="s">
        <v>146</v>
      </c>
      <c r="E124" s="12" t="s">
        <v>77</v>
      </c>
    </row>
    <row r="125" customFormat="false" ht="45.75" hidden="false" customHeight="true" outlineLevel="0" collapsed="false">
      <c r="A125" s="7" t="s">
        <v>153</v>
      </c>
      <c r="B125" s="8" t="s">
        <v>154</v>
      </c>
      <c r="C125" s="9" t="s">
        <v>163</v>
      </c>
      <c r="D125" s="8" t="s">
        <v>154</v>
      </c>
      <c r="E125" s="9" t="s">
        <v>157</v>
      </c>
    </row>
    <row r="126" customFormat="false" ht="45.75" hidden="false" customHeight="true" outlineLevel="0" collapsed="false">
      <c r="A126" s="7" t="s">
        <v>165</v>
      </c>
      <c r="B126" s="8" t="s">
        <v>166</v>
      </c>
      <c r="C126" s="8" t="s">
        <v>166</v>
      </c>
      <c r="D126" s="8" t="s">
        <v>167</v>
      </c>
      <c r="E126" s="12" t="s">
        <v>77</v>
      </c>
    </row>
    <row r="127" customFormat="false" ht="45.75" hidden="false" customHeight="true" outlineLevel="0" collapsed="false">
      <c r="A127" s="7" t="s">
        <v>171</v>
      </c>
      <c r="B127" s="9" t="s">
        <v>172</v>
      </c>
      <c r="C127" s="9" t="s">
        <v>186</v>
      </c>
      <c r="D127" s="9" t="s">
        <v>187</v>
      </c>
      <c r="E127" s="9" t="s">
        <v>191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5" min="2" style="0" width="17"/>
    <col collapsed="false" customWidth="true" hidden="false" outlineLevel="0" max="6" min="6" style="0" width="48"/>
    <col collapsed="false" customWidth="true" hidden="false" outlineLevel="0" max="7" min="7" style="0" width="62"/>
  </cols>
  <sheetData>
    <row r="1" customFormat="false" ht="17.35" hidden="false" customHeight="false" outlineLevel="0" collapsed="false">
      <c r="A1" s="1" t="s">
        <v>200</v>
      </c>
      <c r="B1" s="1"/>
      <c r="C1" s="1"/>
      <c r="D1" s="1"/>
      <c r="E1" s="1"/>
      <c r="F1" s="1"/>
      <c r="G1" s="1"/>
    </row>
    <row r="3" customFormat="false" ht="26.85" hidden="false" customHeight="false" outlineLevel="0" collapsed="false">
      <c r="A3" s="3" t="s">
        <v>201</v>
      </c>
      <c r="B3" s="3" t="s">
        <v>202</v>
      </c>
      <c r="C3" s="3" t="s">
        <v>203</v>
      </c>
      <c r="D3" s="3" t="s">
        <v>204</v>
      </c>
      <c r="E3" s="3" t="s">
        <v>205</v>
      </c>
      <c r="F3" s="3" t="s">
        <v>206</v>
      </c>
      <c r="G3" s="3" t="s">
        <v>207</v>
      </c>
    </row>
    <row r="4" customFormat="false" ht="48" hidden="false" customHeight="true" outlineLevel="0" collapsed="false">
      <c r="A4" s="16" t="s">
        <v>3</v>
      </c>
      <c r="B4" s="17" t="n">
        <v>0.12</v>
      </c>
      <c r="C4" s="17" t="n">
        <v>0.12</v>
      </c>
      <c r="D4" s="17" t="n">
        <v>0.12</v>
      </c>
      <c r="E4" s="18" t="n">
        <f aca="false">MAX(B4:D4)-MIN(B4:D4)</f>
        <v>0</v>
      </c>
      <c r="F4" s="9" t="s">
        <v>208</v>
      </c>
      <c r="G4" s="10" t="s">
        <v>209</v>
      </c>
    </row>
    <row r="5" customFormat="false" ht="48" hidden="false" customHeight="true" outlineLevel="0" collapsed="false">
      <c r="A5" s="16" t="s">
        <v>4</v>
      </c>
      <c r="B5" s="17" t="n">
        <v>0.19</v>
      </c>
      <c r="C5" s="17" t="n">
        <v>0.19</v>
      </c>
      <c r="D5" s="17" t="n">
        <v>0.19</v>
      </c>
      <c r="E5" s="18" t="n">
        <f aca="false">MAX(B5:D5)-MIN(B5:D5)</f>
        <v>0</v>
      </c>
      <c r="F5" s="11" t="s">
        <v>210</v>
      </c>
      <c r="G5" s="10" t="s">
        <v>211</v>
      </c>
    </row>
    <row r="6" customFormat="false" ht="48" hidden="false" customHeight="true" outlineLevel="0" collapsed="false">
      <c r="A6" s="16" t="s">
        <v>5</v>
      </c>
      <c r="B6" s="17" t="n">
        <v>0.31</v>
      </c>
      <c r="C6" s="17" t="n">
        <v>0.33</v>
      </c>
      <c r="D6" s="17" t="n">
        <v>0.34</v>
      </c>
      <c r="E6" s="18" t="n">
        <f aca="false">MAX(B6:D6)-MIN(B6:D6)</f>
        <v>0.03</v>
      </c>
      <c r="F6" s="9" t="s">
        <v>212</v>
      </c>
      <c r="G6" s="10" t="s">
        <v>213</v>
      </c>
    </row>
    <row r="7" customFormat="false" ht="48" hidden="false" customHeight="true" outlineLevel="0" collapsed="false">
      <c r="A7" s="16" t="s">
        <v>6</v>
      </c>
      <c r="B7" s="17" t="n">
        <v>0.13</v>
      </c>
      <c r="C7" s="17" t="n">
        <v>0.14</v>
      </c>
      <c r="D7" s="17" t="n">
        <v>0.14</v>
      </c>
      <c r="E7" s="18" t="n">
        <f aca="false">MAX(B7:D7)-MIN(B7:D7)</f>
        <v>0.01</v>
      </c>
      <c r="F7" s="9" t="s">
        <v>214</v>
      </c>
      <c r="G7" s="10" t="s">
        <v>209</v>
      </c>
    </row>
    <row r="8" customFormat="false" ht="48" hidden="false" customHeight="true" outlineLevel="0" collapsed="false">
      <c r="A8" s="16" t="s">
        <v>7</v>
      </c>
      <c r="B8" s="17" t="n">
        <v>0.07</v>
      </c>
      <c r="C8" s="17" t="n">
        <v>0.76</v>
      </c>
      <c r="D8" s="17" t="n">
        <v>0.08</v>
      </c>
      <c r="E8" s="19" t="n">
        <f aca="false">MAX(B8:D8)-MIN(B8:D8)</f>
        <v>0.69</v>
      </c>
      <c r="F8" s="11" t="s">
        <v>215</v>
      </c>
      <c r="G8" s="9" t="s">
        <v>216</v>
      </c>
    </row>
    <row r="9" customFormat="false" ht="48" hidden="false" customHeight="true" outlineLevel="0" collapsed="false">
      <c r="A9" s="16" t="s">
        <v>8</v>
      </c>
      <c r="B9" s="17" t="n">
        <v>0.27</v>
      </c>
      <c r="C9" s="17" t="n">
        <v>0.25</v>
      </c>
      <c r="D9" s="17" t="n">
        <v>0.24</v>
      </c>
      <c r="E9" s="18" t="n">
        <f aca="false">MAX(B9:D9)-MIN(B9:D9)</f>
        <v>0.03</v>
      </c>
      <c r="F9" s="11" t="s">
        <v>217</v>
      </c>
      <c r="G9" s="11" t="s">
        <v>218</v>
      </c>
    </row>
    <row r="10" customFormat="false" ht="48" hidden="false" customHeight="true" outlineLevel="0" collapsed="false">
      <c r="A10" s="16" t="s">
        <v>9</v>
      </c>
      <c r="B10" s="17" t="n">
        <v>0.11</v>
      </c>
      <c r="C10" s="17" t="n">
        <v>0.84</v>
      </c>
      <c r="D10" s="17" t="n">
        <v>0.08</v>
      </c>
      <c r="E10" s="19" t="n">
        <f aca="false">MAX(B10:D10)-MIN(B10:D10)</f>
        <v>0.76</v>
      </c>
      <c r="F10" s="9" t="s">
        <v>219</v>
      </c>
      <c r="G10" s="9" t="s">
        <v>220</v>
      </c>
    </row>
    <row r="12" customFormat="false" ht="15" hidden="false" customHeight="false" outlineLevel="0" collapsed="false">
      <c r="A12" s="20" t="s">
        <v>221</v>
      </c>
    </row>
    <row r="13" customFormat="false" ht="31.5" hidden="false" customHeight="true" outlineLevel="0" collapsed="false">
      <c r="A13" s="21" t="s">
        <v>222</v>
      </c>
      <c r="B13" s="21"/>
      <c r="C13" s="21"/>
      <c r="D13" s="21"/>
      <c r="E13" s="21"/>
      <c r="F13" s="21"/>
      <c r="G13" s="21"/>
    </row>
    <row r="14" customFormat="false" ht="31.5" hidden="false" customHeight="true" outlineLevel="0" collapsed="false">
      <c r="A14" s="21" t="s">
        <v>223</v>
      </c>
      <c r="B14" s="21"/>
      <c r="C14" s="21"/>
      <c r="D14" s="21"/>
      <c r="E14" s="21"/>
      <c r="F14" s="21"/>
      <c r="G14" s="21"/>
    </row>
    <row r="15" customFormat="false" ht="31.5" hidden="false" customHeight="true" outlineLevel="0" collapsed="false">
      <c r="A15" s="21" t="s">
        <v>224</v>
      </c>
      <c r="B15" s="21"/>
      <c r="C15" s="21"/>
      <c r="D15" s="21"/>
      <c r="E15" s="21"/>
      <c r="F15" s="21"/>
      <c r="G15" s="21"/>
    </row>
    <row r="16" customFormat="false" ht="31.5" hidden="false" customHeight="true" outlineLevel="0" collapsed="false">
      <c r="A16" s="21" t="s">
        <v>225</v>
      </c>
      <c r="B16" s="21"/>
      <c r="C16" s="21"/>
      <c r="D16" s="21"/>
      <c r="E16" s="21"/>
      <c r="F16" s="21"/>
      <c r="G16" s="21"/>
    </row>
    <row r="17" customFormat="false" ht="31.5" hidden="false" customHeight="true" outlineLevel="0" collapsed="false">
      <c r="A17" s="21" t="s">
        <v>226</v>
      </c>
      <c r="B17" s="21"/>
      <c r="C17" s="21"/>
      <c r="D17" s="21"/>
      <c r="E17" s="21"/>
      <c r="F17" s="21"/>
      <c r="G17" s="21"/>
    </row>
    <row r="18" customFormat="false" ht="31.5" hidden="false" customHeight="true" outlineLevel="0" collapsed="false">
      <c r="A18" s="21" t="s">
        <v>227</v>
      </c>
      <c r="B18" s="21"/>
      <c r="C18" s="21"/>
      <c r="D18" s="21"/>
      <c r="E18" s="21"/>
      <c r="F18" s="21"/>
      <c r="G18" s="21"/>
    </row>
  </sheetData>
  <mergeCells count="7">
    <mergeCell ref="A1:G1"/>
    <mergeCell ref="A13:G13"/>
    <mergeCell ref="A14:G14"/>
    <mergeCell ref="A15:G15"/>
    <mergeCell ref="A16:G16"/>
    <mergeCell ref="A17:G17"/>
    <mergeCell ref="A18:G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6" min="2" style="0" width="13"/>
  </cols>
  <sheetData>
    <row r="1" customFormat="false" ht="16.15" hidden="false" customHeight="false" outlineLevel="0" collapsed="false">
      <c r="A1" s="22" t="s">
        <v>228</v>
      </c>
      <c r="B1" s="22"/>
      <c r="C1" s="22"/>
      <c r="D1" s="22"/>
      <c r="E1" s="22"/>
      <c r="F1" s="22"/>
    </row>
    <row r="3" customFormat="false" ht="15" hidden="false" customHeight="false" outlineLevel="0" collapsed="false">
      <c r="A3" s="3" t="s">
        <v>201</v>
      </c>
      <c r="B3" s="3" t="s">
        <v>10</v>
      </c>
      <c r="C3" s="3" t="s">
        <v>11</v>
      </c>
      <c r="D3" s="3" t="s">
        <v>12</v>
      </c>
      <c r="E3" s="3" t="s">
        <v>229</v>
      </c>
      <c r="F3" s="3" t="s">
        <v>230</v>
      </c>
    </row>
    <row r="4" customFormat="false" ht="15" hidden="false" customHeight="false" outlineLevel="0" collapsed="false">
      <c r="A4" s="16" t="s">
        <v>3</v>
      </c>
      <c r="B4" s="17" t="n">
        <v>0.12</v>
      </c>
      <c r="C4" s="17" t="n">
        <v>0.12</v>
      </c>
      <c r="D4" s="17" t="n">
        <v>0.12</v>
      </c>
      <c r="E4" s="17" t="n">
        <f aca="false">AVERAGE(B4:D4)</f>
        <v>0.12</v>
      </c>
      <c r="F4" s="23" t="n">
        <f aca="false">MAX(B4:D4)-MIN(B4:D4)</f>
        <v>0</v>
      </c>
    </row>
    <row r="5" customFormat="false" ht="15" hidden="false" customHeight="false" outlineLevel="0" collapsed="false">
      <c r="A5" s="16" t="s">
        <v>4</v>
      </c>
      <c r="B5" s="17" t="n">
        <v>0.19</v>
      </c>
      <c r="C5" s="17" t="n">
        <v>0.19</v>
      </c>
      <c r="D5" s="17" t="n">
        <v>0.19</v>
      </c>
      <c r="E5" s="17" t="n">
        <f aca="false">AVERAGE(B5:D5)</f>
        <v>0.19</v>
      </c>
      <c r="F5" s="23" t="n">
        <f aca="false">MAX(B5:D5)-MIN(B5:D5)</f>
        <v>0</v>
      </c>
    </row>
    <row r="6" customFormat="false" ht="15" hidden="false" customHeight="false" outlineLevel="0" collapsed="false">
      <c r="A6" s="16" t="s">
        <v>5</v>
      </c>
      <c r="B6" s="17" t="n">
        <v>0.31</v>
      </c>
      <c r="C6" s="17" t="n">
        <v>0.33</v>
      </c>
      <c r="D6" s="17" t="n">
        <v>0.34</v>
      </c>
      <c r="E6" s="17" t="n">
        <f aca="false">AVERAGE(B6:D6)</f>
        <v>0.326666666666667</v>
      </c>
      <c r="F6" s="23" t="n">
        <f aca="false">MAX(B6:D6)-MIN(B6:D6)</f>
        <v>0.03</v>
      </c>
    </row>
    <row r="7" customFormat="false" ht="15" hidden="false" customHeight="false" outlineLevel="0" collapsed="false">
      <c r="A7" s="16" t="s">
        <v>6</v>
      </c>
      <c r="B7" s="17" t="n">
        <v>0.13</v>
      </c>
      <c r="C7" s="17" t="n">
        <v>0.14</v>
      </c>
      <c r="D7" s="17" t="n">
        <v>0.14</v>
      </c>
      <c r="E7" s="17" t="n">
        <f aca="false">AVERAGE(B7:D7)</f>
        <v>0.136666666666667</v>
      </c>
      <c r="F7" s="23" t="n">
        <f aca="false">MAX(B7:D7)-MIN(B7:D7)</f>
        <v>0.01</v>
      </c>
    </row>
    <row r="8" customFormat="false" ht="15" hidden="false" customHeight="false" outlineLevel="0" collapsed="false">
      <c r="A8" s="16" t="s">
        <v>7</v>
      </c>
      <c r="B8" s="17" t="n">
        <v>0.07</v>
      </c>
      <c r="C8" s="17" t="n">
        <v>0.76</v>
      </c>
      <c r="D8" s="17" t="n">
        <v>0.08</v>
      </c>
      <c r="E8" s="17" t="n">
        <f aca="false">AVERAGE(B8:D8)</f>
        <v>0.303333333333333</v>
      </c>
      <c r="F8" s="23" t="n">
        <f aca="false">MAX(B8:D8)-MIN(B8:D8)</f>
        <v>0.69</v>
      </c>
    </row>
    <row r="9" customFormat="false" ht="15" hidden="false" customHeight="false" outlineLevel="0" collapsed="false">
      <c r="A9" s="16" t="s">
        <v>8</v>
      </c>
      <c r="B9" s="17" t="n">
        <v>0.27</v>
      </c>
      <c r="C9" s="17" t="n">
        <v>0.25</v>
      </c>
      <c r="D9" s="17" t="n">
        <v>0.24</v>
      </c>
      <c r="E9" s="17" t="n">
        <f aca="false">AVERAGE(B9:D9)</f>
        <v>0.253333333333333</v>
      </c>
      <c r="F9" s="23" t="n">
        <f aca="false">MAX(B9:D9)-MIN(B9:D9)</f>
        <v>0.03</v>
      </c>
    </row>
    <row r="10" customFormat="false" ht="15" hidden="false" customHeight="false" outlineLevel="0" collapsed="false">
      <c r="A10" s="16" t="s">
        <v>9</v>
      </c>
      <c r="B10" s="17" t="n">
        <v>0.11</v>
      </c>
      <c r="C10" s="17" t="n">
        <v>0.84</v>
      </c>
      <c r="D10" s="17" t="n">
        <v>0.08</v>
      </c>
      <c r="E10" s="17" t="n">
        <f aca="false">AVERAGE(B10:D10)</f>
        <v>0.343333333333333</v>
      </c>
      <c r="F10" s="23" t="n">
        <f aca="false">MAX(B10:D10)-MIN(B10:D10)</f>
        <v>0.76</v>
      </c>
    </row>
    <row r="12" customFormat="false" ht="15" hidden="false" customHeight="false" outlineLevel="0" collapsed="false">
      <c r="A12" s="2" t="s">
        <v>231</v>
      </c>
      <c r="B12" s="2"/>
      <c r="C12" s="2"/>
      <c r="D12" s="2"/>
      <c r="E12" s="2"/>
      <c r="F12" s="2"/>
    </row>
  </sheetData>
  <mergeCells count="2">
    <mergeCell ref="A1:F1"/>
    <mergeCell ref="A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46"/>
  </cols>
  <sheetData>
    <row r="1" customFormat="false" ht="17.35" hidden="false" customHeight="false" outlineLevel="0" collapsed="false">
      <c r="A1" s="1" t="s">
        <v>232</v>
      </c>
      <c r="B1" s="1"/>
      <c r="C1" s="1"/>
      <c r="D1" s="1"/>
    </row>
    <row r="3" customFormat="false" ht="15" hidden="false" customHeight="false" outlineLevel="0" collapsed="false">
      <c r="A3" s="3" t="s">
        <v>10</v>
      </c>
      <c r="B3" s="3" t="s">
        <v>11</v>
      </c>
      <c r="C3" s="3" t="s">
        <v>12</v>
      </c>
      <c r="D3" s="3" t="s">
        <v>13</v>
      </c>
    </row>
    <row r="4" customFormat="false" ht="27.75" hidden="false" customHeight="true" outlineLevel="0" collapsed="false">
      <c r="A4" s="8" t="s">
        <v>233</v>
      </c>
      <c r="B4" s="8" t="s">
        <v>234</v>
      </c>
      <c r="C4" s="8" t="s">
        <v>235</v>
      </c>
      <c r="D4" s="8" t="s">
        <v>236</v>
      </c>
    </row>
    <row r="5" customFormat="false" ht="27.75" hidden="false" customHeight="true" outlineLevel="0" collapsed="false">
      <c r="A5" s="8" t="s">
        <v>237</v>
      </c>
      <c r="B5" s="8" t="s">
        <v>238</v>
      </c>
      <c r="C5" s="8" t="s">
        <v>239</v>
      </c>
      <c r="D5" s="8" t="s">
        <v>240</v>
      </c>
    </row>
    <row r="6" customFormat="false" ht="27.75" hidden="false" customHeight="true" outlineLevel="0" collapsed="false">
      <c r="A6" s="8" t="s">
        <v>241</v>
      </c>
      <c r="B6" s="8" t="s">
        <v>242</v>
      </c>
      <c r="C6" s="8" t="s">
        <v>243</v>
      </c>
      <c r="D6" s="8" t="s">
        <v>244</v>
      </c>
    </row>
    <row r="7" customFormat="false" ht="27.75" hidden="false" customHeight="true" outlineLevel="0" collapsed="false">
      <c r="A7" s="8" t="s">
        <v>245</v>
      </c>
      <c r="B7" s="8" t="s">
        <v>246</v>
      </c>
      <c r="C7" s="8" t="s">
        <v>247</v>
      </c>
      <c r="D7" s="8" t="s">
        <v>248</v>
      </c>
    </row>
    <row r="8" customFormat="false" ht="27.75" hidden="false" customHeight="true" outlineLevel="0" collapsed="false">
      <c r="A8" s="8" t="s">
        <v>249</v>
      </c>
      <c r="B8" s="8" t="s">
        <v>250</v>
      </c>
      <c r="C8" s="8" t="s">
        <v>251</v>
      </c>
      <c r="D8" s="8" t="s">
        <v>252</v>
      </c>
    </row>
    <row r="9" customFormat="false" ht="27.75" hidden="false" customHeight="true" outlineLevel="0" collapsed="false">
      <c r="A9" s="8" t="s">
        <v>253</v>
      </c>
      <c r="B9" s="8" t="s">
        <v>254</v>
      </c>
      <c r="C9" s="8" t="s">
        <v>255</v>
      </c>
      <c r="D9" s="8" t="s">
        <v>256</v>
      </c>
    </row>
    <row r="10" customFormat="false" ht="27.75" hidden="false" customHeight="true" outlineLevel="0" collapsed="false">
      <c r="A10" s="8" t="s">
        <v>257</v>
      </c>
      <c r="B10" s="8" t="s">
        <v>258</v>
      </c>
      <c r="C10" s="8" t="s">
        <v>259</v>
      </c>
      <c r="D10" s="8" t="s">
        <v>260</v>
      </c>
    </row>
    <row r="11" customFormat="false" ht="27.75" hidden="false" customHeight="true" outlineLevel="0" collapsed="false">
      <c r="A11" s="8" t="s">
        <v>261</v>
      </c>
      <c r="B11" s="8"/>
      <c r="C11" s="8" t="s">
        <v>262</v>
      </c>
      <c r="D11" s="8"/>
    </row>
    <row r="13" customFormat="false" ht="15" hidden="false" customHeight="false" outlineLevel="0" collapsed="false">
      <c r="A13" s="20" t="s">
        <v>263</v>
      </c>
    </row>
    <row r="14" customFormat="false" ht="15" hidden="false" customHeight="true" outlineLevel="0" collapsed="false">
      <c r="A14" s="24"/>
      <c r="B14" s="21" t="s">
        <v>264</v>
      </c>
      <c r="C14" s="21"/>
      <c r="D14" s="21"/>
    </row>
    <row r="15" customFormat="false" ht="15" hidden="false" customHeight="true" outlineLevel="0" collapsed="false">
      <c r="A15" s="25"/>
      <c r="B15" s="21" t="s">
        <v>265</v>
      </c>
      <c r="C15" s="21"/>
      <c r="D15" s="21"/>
    </row>
    <row r="16" customFormat="false" ht="15" hidden="false" customHeight="true" outlineLevel="0" collapsed="false">
      <c r="A16" s="26"/>
      <c r="B16" s="21" t="s">
        <v>266</v>
      </c>
      <c r="C16" s="21"/>
      <c r="D16" s="21"/>
    </row>
    <row r="17" customFormat="false" ht="15" hidden="false" customHeight="true" outlineLevel="0" collapsed="false">
      <c r="A17" s="27"/>
      <c r="B17" s="21" t="s">
        <v>267</v>
      </c>
      <c r="C17" s="21"/>
      <c r="D17" s="21"/>
    </row>
    <row r="19" customFormat="false" ht="15" hidden="false" customHeight="false" outlineLevel="0" collapsed="false">
      <c r="A19" s="20" t="s">
        <v>268</v>
      </c>
    </row>
    <row r="20" customFormat="false" ht="15" hidden="false" customHeight="true" outlineLevel="0" collapsed="false">
      <c r="A20" s="28" t="s">
        <v>269</v>
      </c>
      <c r="B20" s="21" t="s">
        <v>270</v>
      </c>
      <c r="C20" s="21"/>
      <c r="D20" s="21"/>
    </row>
    <row r="21" customFormat="false" ht="15" hidden="false" customHeight="true" outlineLevel="0" collapsed="false">
      <c r="A21" s="28" t="s">
        <v>271</v>
      </c>
      <c r="B21" s="21" t="s">
        <v>45</v>
      </c>
      <c r="C21" s="21"/>
      <c r="D21" s="21"/>
    </row>
    <row r="22" customFormat="false" ht="15" hidden="false" customHeight="true" outlineLevel="0" collapsed="false">
      <c r="A22" s="28" t="s">
        <v>272</v>
      </c>
      <c r="B22" s="21" t="s">
        <v>38</v>
      </c>
      <c r="C22" s="21"/>
      <c r="D22" s="21"/>
    </row>
    <row r="23" customFormat="false" ht="15" hidden="false" customHeight="true" outlineLevel="0" collapsed="false">
      <c r="A23" s="28" t="s">
        <v>273</v>
      </c>
      <c r="B23" s="21" t="s">
        <v>274</v>
      </c>
      <c r="C23" s="21"/>
      <c r="D23" s="21"/>
    </row>
    <row r="24" customFormat="false" ht="15" hidden="false" customHeight="true" outlineLevel="0" collapsed="false">
      <c r="A24" s="28" t="s">
        <v>275</v>
      </c>
      <c r="B24" s="21" t="s">
        <v>276</v>
      </c>
      <c r="C24" s="21"/>
      <c r="D24" s="21"/>
    </row>
    <row r="25" customFormat="false" ht="15" hidden="false" customHeight="true" outlineLevel="0" collapsed="false">
      <c r="A25" s="28" t="s">
        <v>277</v>
      </c>
      <c r="B25" s="21" t="s">
        <v>278</v>
      </c>
      <c r="C25" s="21"/>
      <c r="D25" s="21"/>
    </row>
    <row r="26" customFormat="false" ht="15" hidden="false" customHeight="true" outlineLevel="0" collapsed="false">
      <c r="A26" s="28" t="s">
        <v>279</v>
      </c>
      <c r="B26" s="21" t="s">
        <v>280</v>
      </c>
      <c r="C26" s="21"/>
      <c r="D26" s="21"/>
    </row>
    <row r="27" customFormat="false" ht="15" hidden="false" customHeight="true" outlineLevel="0" collapsed="false">
      <c r="A27" s="28" t="s">
        <v>281</v>
      </c>
      <c r="B27" s="21" t="s">
        <v>282</v>
      </c>
      <c r="C27" s="21"/>
      <c r="D27" s="21"/>
    </row>
    <row r="29" customFormat="false" ht="15" hidden="false" customHeight="false" outlineLevel="0" collapsed="false">
      <c r="A29" s="2" t="s">
        <v>283</v>
      </c>
      <c r="B29" s="2"/>
      <c r="C29" s="2"/>
      <c r="D29" s="2"/>
    </row>
  </sheetData>
  <mergeCells count="14">
    <mergeCell ref="A1:D1"/>
    <mergeCell ref="B14:D14"/>
    <mergeCell ref="B15:D15"/>
    <mergeCell ref="B16:D16"/>
    <mergeCell ref="B17:D17"/>
    <mergeCell ref="B20:D20"/>
    <mergeCell ref="B21:D21"/>
    <mergeCell ref="B22:D22"/>
    <mergeCell ref="B23:D23"/>
    <mergeCell ref="B24:D24"/>
    <mergeCell ref="B25:D25"/>
    <mergeCell ref="B26:D26"/>
    <mergeCell ref="B27:D27"/>
    <mergeCell ref="A29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2026-09-18T17:49:08Z</dcterms:created>
  <dc:creator>openpyxl</dc:creator>
  <dc:description/>
  <dc:language>en-US</dc:language>
  <cp:lastModifiedBy/>
  <dcterms:modified xsi:type="dcterms:W3CDTF">2026-09-18T17:49:16Z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